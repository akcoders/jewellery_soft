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.dell\Desktop\anuj\"/>
    </mc:Choice>
  </mc:AlternateContent>
  <xr:revisionPtr revIDLastSave="0" documentId="13_ncr:1_{6ABD88B5-D071-42F3-97F9-A9C2E1BD1493}" xr6:coauthVersionLast="47" xr6:coauthVersionMax="47" xr10:uidLastSave="{00000000-0000-0000-0000-000000000000}"/>
  <bookViews>
    <workbookView xWindow="-110" yWindow="-110" windowWidth="19420" windowHeight="10300" tabRatio="755" xr2:uid="{00000000-000D-0000-FFFF-FFFF00000000}"/>
  </bookViews>
  <sheets>
    <sheet name="APR-26" sheetId="101" r:id="rId1"/>
    <sheet name="MAY-26" sheetId="102" r:id="rId2"/>
    <sheet name="JUNE-26" sheetId="103" r:id="rId3"/>
    <sheet name="JULY-26" sheetId="10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05" l="1"/>
  <c r="U3" i="105"/>
  <c r="F16" i="105" l="1"/>
  <c r="E44" i="105"/>
  <c r="T16" i="105"/>
  <c r="R16" i="105"/>
  <c r="Q16" i="105"/>
  <c r="O16" i="105"/>
  <c r="N16" i="105"/>
  <c r="L16" i="105"/>
  <c r="K16" i="105"/>
  <c r="J16" i="105"/>
  <c r="H16" i="105"/>
  <c r="S16" i="105"/>
  <c r="M16" i="105"/>
  <c r="I16" i="105"/>
  <c r="G16" i="105"/>
  <c r="V16" i="105"/>
  <c r="P16" i="105"/>
  <c r="U16" i="105"/>
  <c r="F12" i="103"/>
  <c r="H17" i="105" l="1"/>
  <c r="H19" i="105" s="1"/>
  <c r="L17" i="105"/>
  <c r="L19" i="105" s="1"/>
  <c r="J17" i="105"/>
  <c r="J19" i="105" s="1"/>
  <c r="N17" i="105"/>
  <c r="N19" i="105" s="1"/>
  <c r="E16" i="105"/>
  <c r="F17" i="105" s="1"/>
  <c r="T17" i="105"/>
  <c r="T19" i="105" s="1"/>
  <c r="R17" i="105"/>
  <c r="R19" i="105" s="1"/>
  <c r="V17" i="105"/>
  <c r="V19" i="105" s="1"/>
  <c r="P17" i="105"/>
  <c r="P19" i="105" s="1"/>
  <c r="E3" i="103" l="1"/>
  <c r="F9" i="103"/>
  <c r="F6" i="103"/>
  <c r="T17" i="103" l="1"/>
  <c r="S17" i="103"/>
  <c r="R17" i="103"/>
  <c r="Q17" i="103"/>
  <c r="O17" i="103"/>
  <c r="N17" i="103"/>
  <c r="M17" i="103"/>
  <c r="L17" i="103"/>
  <c r="K17" i="103"/>
  <c r="H17" i="103"/>
  <c r="J17" i="103"/>
  <c r="I17" i="103"/>
  <c r="G17" i="103"/>
  <c r="E17" i="103"/>
  <c r="V17" i="103"/>
  <c r="P17" i="103"/>
  <c r="U3" i="103"/>
  <c r="U17" i="103" s="1"/>
  <c r="L5" i="102"/>
  <c r="F5" i="102"/>
  <c r="F4" i="102"/>
  <c r="V18" i="103" l="1"/>
  <c r="V20" i="103" s="1"/>
  <c r="R18" i="103"/>
  <c r="R20" i="103" s="1"/>
  <c r="P18" i="103"/>
  <c r="P20" i="103" s="1"/>
  <c r="J18" i="103"/>
  <c r="J20" i="103" s="1"/>
  <c r="N18" i="103"/>
  <c r="N20" i="103" s="1"/>
  <c r="F17" i="103"/>
  <c r="F18" i="103" s="1"/>
  <c r="F20" i="103" s="1"/>
  <c r="L18" i="103"/>
  <c r="L20" i="103" s="1"/>
  <c r="T18" i="103"/>
  <c r="T20" i="103" s="1"/>
  <c r="H18" i="103"/>
  <c r="H20" i="103" s="1"/>
  <c r="E38" i="102"/>
  <c r="V10" i="102"/>
  <c r="U10" i="102"/>
  <c r="T10" i="102"/>
  <c r="S10" i="102"/>
  <c r="Q10" i="102"/>
  <c r="P10" i="102"/>
  <c r="O10" i="102"/>
  <c r="N10" i="102"/>
  <c r="M10" i="102"/>
  <c r="L10" i="102"/>
  <c r="J10" i="102"/>
  <c r="H10" i="102"/>
  <c r="G10" i="102"/>
  <c r="K10" i="102"/>
  <c r="I10" i="102"/>
  <c r="E10" i="102"/>
  <c r="X10" i="102"/>
  <c r="R10" i="102"/>
  <c r="W3" i="102"/>
  <c r="W10" i="102" s="1"/>
  <c r="F18" i="101"/>
  <c r="P11" i="102" l="1"/>
  <c r="P13" i="102" s="1"/>
  <c r="J11" i="102"/>
  <c r="J13" i="102" s="1"/>
  <c r="L11" i="102"/>
  <c r="L13" i="102" s="1"/>
  <c r="H11" i="102"/>
  <c r="H13" i="102" s="1"/>
  <c r="R11" i="102"/>
  <c r="R13" i="102" s="1"/>
  <c r="X11" i="102"/>
  <c r="X13" i="102" s="1"/>
  <c r="N11" i="102"/>
  <c r="N13" i="102" s="1"/>
  <c r="V11" i="102"/>
  <c r="V13" i="102" s="1"/>
  <c r="F10" i="102"/>
  <c r="F11" i="102" s="1"/>
  <c r="F13" i="102" s="1"/>
  <c r="T11" i="102"/>
  <c r="T13" i="102" s="1"/>
  <c r="F6" i="101"/>
  <c r="F21" i="101" s="1"/>
  <c r="H21" i="101"/>
  <c r="G21" i="101"/>
  <c r="X21" i="101"/>
  <c r="W21" i="101"/>
  <c r="V21" i="101"/>
  <c r="U21" i="101"/>
  <c r="T21" i="101"/>
  <c r="S21" i="101"/>
  <c r="R21" i="101"/>
  <c r="Q21" i="101"/>
  <c r="P21" i="101"/>
  <c r="O21" i="101"/>
  <c r="N21" i="101"/>
  <c r="I21" i="101"/>
  <c r="L21" i="101"/>
  <c r="M21" i="101"/>
  <c r="E21" i="101"/>
  <c r="Z21" i="101"/>
  <c r="J21" i="101"/>
  <c r="Y3" i="101"/>
  <c r="Y21" i="101" s="1"/>
  <c r="T22" i="101" l="1"/>
  <c r="T24" i="101" s="1"/>
  <c r="H22" i="101"/>
  <c r="H24" i="101" s="1"/>
  <c r="K21" i="101"/>
  <c r="L22" i="101" s="1"/>
  <c r="L24" i="101" s="1"/>
  <c r="P22" i="101"/>
  <c r="P24" i="101" s="1"/>
  <c r="V22" i="101"/>
  <c r="V24" i="101" s="1"/>
  <c r="N22" i="101"/>
  <c r="N24" i="101" s="1"/>
  <c r="X22" i="101"/>
  <c r="X24" i="101" s="1"/>
  <c r="R22" i="101"/>
  <c r="R24" i="101" s="1"/>
  <c r="Z22" i="101"/>
  <c r="Z24" i="101" s="1"/>
  <c r="J22" i="101"/>
  <c r="J24" i="101" s="1"/>
  <c r="F22" i="101"/>
  <c r="F24" i="101" s="1"/>
</calcChain>
</file>

<file path=xl/sharedStrings.xml><?xml version="1.0" encoding="utf-8"?>
<sst xmlns="http://schemas.openxmlformats.org/spreadsheetml/2006/main" count="301" uniqueCount="119">
  <si>
    <t>DATE</t>
  </si>
  <si>
    <t>DISCRIPTIONS</t>
  </si>
  <si>
    <t>RECEVED</t>
  </si>
  <si>
    <t>ISSUSED</t>
  </si>
  <si>
    <t>BUG</t>
  </si>
  <si>
    <t>PAN</t>
  </si>
  <si>
    <t>MQ</t>
  </si>
  <si>
    <t>TO Closing ball.</t>
  </si>
  <si>
    <t>usable</t>
  </si>
  <si>
    <t>PURCHASE</t>
  </si>
  <si>
    <t>VVS-VS. ROUND</t>
  </si>
  <si>
    <t>RC</t>
  </si>
  <si>
    <t>SI/IJ</t>
  </si>
  <si>
    <t>POLKI</t>
  </si>
  <si>
    <t>OPENING</t>
  </si>
  <si>
    <t>PRS</t>
  </si>
  <si>
    <t>FANCY/EM</t>
  </si>
  <si>
    <t>VEER DIAM</t>
  </si>
  <si>
    <t>BRAC</t>
  </si>
  <si>
    <t>SAFWAN JEWELLERY WORKSHOP</t>
  </si>
  <si>
    <t>VS-SI. ROUND</t>
  </si>
  <si>
    <t>JGD DIAMONDS</t>
  </si>
  <si>
    <t>RING</t>
  </si>
  <si>
    <t>SHREE GOURANGO GOLD WORK SHOP</t>
  </si>
  <si>
    <t>KALASHA FINE JEWELS</t>
  </si>
  <si>
    <t>01.04.2026</t>
  </si>
  <si>
    <t>JHUMKIE</t>
  </si>
  <si>
    <t>2 RING</t>
  </si>
  <si>
    <t>ASHWA GEMS</t>
  </si>
  <si>
    <t>01/2026-27</t>
  </si>
  <si>
    <t>UTTAM MAL</t>
  </si>
  <si>
    <t>BRAC,HAARAM</t>
  </si>
  <si>
    <t>SMGAJ-J/26-27/001</t>
  </si>
  <si>
    <t>SMGAJ-J/26-27/002</t>
  </si>
  <si>
    <t>LAB GROWN</t>
  </si>
  <si>
    <t>SMGAJ-J/26-27/003</t>
  </si>
  <si>
    <t>02.04.2026</t>
  </si>
  <si>
    <t>RHEEA JEWELS</t>
  </si>
  <si>
    <t>BANGLE</t>
  </si>
  <si>
    <t>03.04.2026</t>
  </si>
  <si>
    <t>04.04.2026</t>
  </si>
  <si>
    <t>02/2026-27</t>
  </si>
  <si>
    <t>14.04.2026</t>
  </si>
  <si>
    <t>03/2026-27</t>
  </si>
  <si>
    <t>SMGAJ-J/26-27/005</t>
  </si>
  <si>
    <t>SMGAJ-J/26-27/004</t>
  </si>
  <si>
    <t>SMGAJ-J/26-27/007</t>
  </si>
  <si>
    <t>LATKAN</t>
  </si>
  <si>
    <t>06.04.2026</t>
  </si>
  <si>
    <t>SMGAJ-J/26-27/006</t>
  </si>
  <si>
    <t>SMGAJ-J/26-27/008</t>
  </si>
  <si>
    <t>3 BRAC</t>
  </si>
  <si>
    <t>KFJ/26-27/043</t>
  </si>
  <si>
    <t>21.04.2026</t>
  </si>
  <si>
    <t>17.04.2026</t>
  </si>
  <si>
    <t>SMGAJ-J/26-27/010</t>
  </si>
  <si>
    <t>16.04.2026</t>
  </si>
  <si>
    <t>SMGAJ-J/26-27/009</t>
  </si>
  <si>
    <t>CAP</t>
  </si>
  <si>
    <t>24.04.2026</t>
  </si>
  <si>
    <t>SMGAJ-J/26-27/011</t>
  </si>
  <si>
    <t>JHUMKIE,NATH</t>
  </si>
  <si>
    <t>01.05.2026</t>
  </si>
  <si>
    <t>SMGAJ-J/26-27/012</t>
  </si>
  <si>
    <t>BRACLATE,JHUM,TANMAN</t>
  </si>
  <si>
    <t>CHOKER ER</t>
  </si>
  <si>
    <t>SMGAJ-J/26-27/013</t>
  </si>
  <si>
    <t>05.05.2026</t>
  </si>
  <si>
    <t>08.05.2026</t>
  </si>
  <si>
    <t>SMGAJ-J/26-27/014</t>
  </si>
  <si>
    <t>BNG RING</t>
  </si>
  <si>
    <t>12.05.2026</t>
  </si>
  <si>
    <t>SMGAJ-J/26-27/015</t>
  </si>
  <si>
    <t>ER</t>
  </si>
  <si>
    <t>BANGLE,PEN</t>
  </si>
  <si>
    <t>01.06.2026</t>
  </si>
  <si>
    <t>02.06.2026</t>
  </si>
  <si>
    <t>KFJ/26-27/109</t>
  </si>
  <si>
    <t>SMGAJ-J/26-27/018</t>
  </si>
  <si>
    <t>TOPS</t>
  </si>
  <si>
    <t>04.06.2024</t>
  </si>
  <si>
    <t>06.06.2026</t>
  </si>
  <si>
    <t>SMGAJ-J/26-27/019</t>
  </si>
  <si>
    <t>NEK</t>
  </si>
  <si>
    <t>SMGAJ-J/26-27/020</t>
  </si>
  <si>
    <t>PEN ER</t>
  </si>
  <si>
    <t>10.06.2026</t>
  </si>
  <si>
    <t>SMGJ PURCHASE</t>
  </si>
  <si>
    <t>SMGJ/HYD/BS/020</t>
  </si>
  <si>
    <t>10/2026-27</t>
  </si>
  <si>
    <t>08.06.2026</t>
  </si>
  <si>
    <t>SMGAJ-J/26-27/021</t>
  </si>
  <si>
    <t>DIAMONDONCALL</t>
  </si>
  <si>
    <t>DOC-01593</t>
  </si>
  <si>
    <t>BRIDLE</t>
  </si>
  <si>
    <t>SMGAJ-J/26-27/022</t>
  </si>
  <si>
    <t>26.06.2026</t>
  </si>
  <si>
    <t>VD/L/071/2026-27</t>
  </si>
  <si>
    <t>15.06.2026</t>
  </si>
  <si>
    <t>SMGAJ-J/26-27/023</t>
  </si>
  <si>
    <t>01.07.2026</t>
  </si>
  <si>
    <t>SMGAJ-J/26-27/024</t>
  </si>
  <si>
    <t>TOPS 2 BRAC</t>
  </si>
  <si>
    <t>KFJ/26-27/151</t>
  </si>
  <si>
    <t>03.07.2026</t>
  </si>
  <si>
    <t>SMGAJ-J/26-27/025</t>
  </si>
  <si>
    <t>PEN ER NEK</t>
  </si>
  <si>
    <t>06.07.2026</t>
  </si>
  <si>
    <t>02.07.2026</t>
  </si>
  <si>
    <t>SMGAJ-J/26-27/026</t>
  </si>
  <si>
    <t>PEN,CHAND</t>
  </si>
  <si>
    <t>09.07.2026</t>
  </si>
  <si>
    <t>KFJ/26-27/156</t>
  </si>
  <si>
    <t>SMGAJ-J/26-27/028</t>
  </si>
  <si>
    <t>SMGAJ-J/26-27/029</t>
  </si>
  <si>
    <t>SMGAJ-J/26-27/030</t>
  </si>
  <si>
    <t>10.07.2026</t>
  </si>
  <si>
    <t>21.07.2026</t>
  </si>
  <si>
    <t>SMGAJ-J/26-27/032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</si>
</sst>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35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1" fillId="5" borderId="2" xfId="0" applyNumberFormat="1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2" fontId="0" fillId="2" borderId="16" xfId="0" applyNumberForma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0" fillId="0" borderId="21" xfId="0" applyNumberForma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2" fontId="0" fillId="2" borderId="6" xfId="0" applyNumberFormat="1" applyFill="1" applyBorder="1" applyAlignment="1">
      <alignment horizontal="center" vertical="center"/>
    </xf>
    <xf numFmtId="0" fontId="0" fillId="0" borderId="2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1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3" xfId="0" applyNumberForma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2" fontId="0" fillId="2" borderId="17" xfId="0" applyNumberFormat="1" applyFill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2" fontId="0" fillId="0" borderId="26" xfId="0" applyNumberFormat="1" applyBorder="1" applyAlignment="1">
      <alignment horizontal="center" vertical="center"/>
    </xf>
    <xf numFmtId="2" fontId="1" fillId="5" borderId="24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1" fillId="2" borderId="29" xfId="0" applyNumberFormat="1" applyFont="1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2" fontId="0" fillId="0" borderId="25" xfId="0" applyNumberForma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2" fontId="1" fillId="0" borderId="12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2" fontId="0" fillId="2" borderId="30" xfId="0" applyNumberFormat="1" applyFill="1" applyBorder="1" applyAlignment="1">
      <alignment horizontal="center" vertical="center"/>
    </xf>
    <xf numFmtId="0" fontId="3" fillId="3" borderId="24" xfId="0" applyFont="1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2" fontId="0" fillId="3" borderId="26" xfId="0" applyNumberForma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2" fontId="1" fillId="3" borderId="12" xfId="0" applyNumberFormat="1" applyFont="1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2" fontId="0" fillId="3" borderId="16" xfId="0" applyNumberForma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2" fontId="1" fillId="4" borderId="29" xfId="0" applyNumberFormat="1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2" fontId="0" fillId="4" borderId="31" xfId="0" applyNumberFormat="1" applyFill="1" applyBorder="1" applyAlignment="1">
      <alignment horizontal="center" vertical="center"/>
    </xf>
    <xf numFmtId="2" fontId="0" fillId="4" borderId="17" xfId="0" applyNumberFormat="1" applyFill="1" applyBorder="1" applyAlignment="1">
      <alignment horizontal="center" vertical="center"/>
    </xf>
    <xf numFmtId="0" fontId="0" fillId="4" borderId="32" xfId="0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2" fontId="0" fillId="2" borderId="25" xfId="0" applyNumberFormat="1" applyFill="1" applyBorder="1" applyAlignment="1">
      <alignment horizontal="center" vertical="center"/>
    </xf>
    <xf numFmtId="2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2" fontId="0" fillId="2" borderId="26" xfId="0" applyNumberForma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2" fontId="1" fillId="3" borderId="29" xfId="0" applyNumberFormat="1" applyFont="1" applyFill="1" applyBorder="1" applyAlignment="1">
      <alignment horizontal="center" vertical="center"/>
    </xf>
    <xf numFmtId="2" fontId="0" fillId="3" borderId="13" xfId="0" applyNumberFormat="1" applyFill="1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2" fontId="0" fillId="3" borderId="31" xfId="0" applyNumberFormat="1" applyFill="1" applyBorder="1" applyAlignment="1">
      <alignment horizontal="center" vertical="center"/>
    </xf>
    <xf numFmtId="2" fontId="0" fillId="3" borderId="17" xfId="0" applyNumberFormat="1" applyFill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2" fontId="0" fillId="4" borderId="30" xfId="0" applyNumberFormat="1" applyFill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2" borderId="33" xfId="0" applyFill="1" applyBorder="1" applyAlignment="1">
      <alignment horizontal="center" vertical="center"/>
    </xf>
    <xf numFmtId="2" fontId="0" fillId="2" borderId="34" xfId="0" applyNumberFormat="1" applyFill="1" applyBorder="1" applyAlignment="1">
      <alignment horizontal="center" vertical="center"/>
    </xf>
    <xf numFmtId="0" fontId="0" fillId="3" borderId="27" xfId="0" applyFill="1" applyBorder="1" applyAlignment="1">
      <alignment horizontal="center" vertical="center"/>
    </xf>
    <xf numFmtId="2" fontId="0" fillId="3" borderId="28" xfId="0" applyNumberFormat="1" applyFill="1" applyBorder="1" applyAlignment="1">
      <alignment horizontal="center" vertical="center"/>
    </xf>
    <xf numFmtId="2" fontId="0" fillId="4" borderId="28" xfId="0" applyNumberFormat="1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2" fontId="0" fillId="3" borderId="34" xfId="0" applyNumberForma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2" fontId="1" fillId="2" borderId="24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2" fontId="1" fillId="3" borderId="2" xfId="0" applyNumberFormat="1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2" fontId="1" fillId="4" borderId="2" xfId="0" applyNumberFormat="1" applyFon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2" fontId="1" fillId="3" borderId="24" xfId="0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3" borderId="4" xfId="0" applyNumberFormat="1" applyFill="1" applyBorder="1" applyAlignment="1">
      <alignment horizontal="center" vertical="center"/>
    </xf>
    <xf numFmtId="2" fontId="0" fillId="3" borderId="23" xfId="0" applyNumberForma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2" fontId="0" fillId="2" borderId="28" xfId="0" applyNumberFormat="1" applyFill="1" applyBorder="1" applyAlignment="1">
      <alignment horizontal="center" vertical="center"/>
    </xf>
    <xf numFmtId="0" fontId="4" fillId="0" borderId="22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4" borderId="27" xfId="0" applyFont="1" applyFill="1" applyBorder="1" applyAlignment="1">
      <alignment horizontal="center" vertical="center"/>
    </xf>
    <xf numFmtId="0" fontId="2" fillId="4" borderId="28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3913-FCAC-452A-91F8-0C813BBD7C35}">
  <dimension ref="A1:Z43"/>
  <sheetViews>
    <sheetView tabSelected="1" topLeftCell="A4" workbookViewId="0">
      <selection activeCell="C12" sqref="C12"/>
    </sheetView>
  </sheetViews>
  <sheetFormatPr defaultColWidth="9.08984375" defaultRowHeight="14.5" x14ac:dyDescent="0.35"/>
  <cols>
    <col min="1" max="1" width="11.6328125" style="1" bestFit="1" customWidth="1"/>
    <col min="2" max="2" width="33" style="1" bestFit="1" customWidth="1"/>
    <col min="3" max="3" width="18.453125" style="1" bestFit="1" customWidth="1"/>
    <col min="4" max="4" width="27.08984375" style="1" bestFit="1" customWidth="1"/>
    <col min="5" max="13" width="9.08984375" style="1"/>
    <col min="14" max="14" width="9.6328125" style="1" bestFit="1" customWidth="1"/>
    <col min="15" max="16384" width="9.08984375" style="1"/>
  </cols>
  <sheetData>
    <row r="1" spans="1:26" ht="15" thickBot="1" x14ac:dyDescent="0.4">
      <c r="A1" s="8"/>
      <c r="B1" s="12"/>
      <c r="C1" s="19"/>
      <c r="D1" s="12"/>
      <c r="E1" s="127" t="s">
        <v>10</v>
      </c>
      <c r="F1" s="128"/>
      <c r="G1" s="129" t="s">
        <v>34</v>
      </c>
      <c r="H1" s="130"/>
      <c r="I1" s="123" t="s">
        <v>20</v>
      </c>
      <c r="J1" s="124"/>
      <c r="K1" s="129" t="s">
        <v>12</v>
      </c>
      <c r="L1" s="130"/>
      <c r="M1" s="131" t="s">
        <v>4</v>
      </c>
      <c r="N1" s="132"/>
      <c r="O1" s="133" t="s">
        <v>11</v>
      </c>
      <c r="P1" s="134"/>
      <c r="Q1" s="123" t="s">
        <v>5</v>
      </c>
      <c r="R1" s="124"/>
      <c r="S1" s="125" t="s">
        <v>6</v>
      </c>
      <c r="T1" s="126"/>
      <c r="U1" s="123" t="s">
        <v>13</v>
      </c>
      <c r="V1" s="124"/>
      <c r="W1" s="125" t="s">
        <v>15</v>
      </c>
      <c r="X1" s="126"/>
      <c r="Y1" s="123" t="s">
        <v>16</v>
      </c>
      <c r="Z1" s="124"/>
    </row>
    <row r="2" spans="1:26" ht="15" thickBot="1" x14ac:dyDescent="0.4">
      <c r="A2" s="9" t="s">
        <v>0</v>
      </c>
      <c r="B2" s="13" t="s">
        <v>1</v>
      </c>
      <c r="C2" s="20"/>
      <c r="D2" s="13"/>
      <c r="E2" s="21" t="s">
        <v>2</v>
      </c>
      <c r="F2" s="73" t="s">
        <v>3</v>
      </c>
      <c r="G2" s="78" t="s">
        <v>2</v>
      </c>
      <c r="H2" s="79" t="s">
        <v>3</v>
      </c>
      <c r="I2" s="43" t="s">
        <v>2</v>
      </c>
      <c r="J2" s="33" t="s">
        <v>3</v>
      </c>
      <c r="K2" s="78" t="s">
        <v>2</v>
      </c>
      <c r="L2" s="79" t="s">
        <v>3</v>
      </c>
      <c r="M2" s="64" t="s">
        <v>2</v>
      </c>
      <c r="N2" s="65" t="s">
        <v>3</v>
      </c>
      <c r="O2" s="60" t="s">
        <v>2</v>
      </c>
      <c r="P2" s="56" t="s">
        <v>3</v>
      </c>
      <c r="Q2" s="43" t="s">
        <v>2</v>
      </c>
      <c r="R2" s="33" t="s">
        <v>3</v>
      </c>
      <c r="S2" s="49" t="s">
        <v>2</v>
      </c>
      <c r="T2" s="38" t="s">
        <v>3</v>
      </c>
      <c r="U2" s="43" t="s">
        <v>2</v>
      </c>
      <c r="V2" s="33" t="s">
        <v>3</v>
      </c>
      <c r="W2" s="49" t="s">
        <v>2</v>
      </c>
      <c r="X2" s="38" t="s">
        <v>3</v>
      </c>
      <c r="Y2" s="43" t="s">
        <v>2</v>
      </c>
      <c r="Z2" s="33" t="s">
        <v>3</v>
      </c>
    </row>
    <row r="3" spans="1:26" x14ac:dyDescent="0.35">
      <c r="A3" s="15" t="s">
        <v>25</v>
      </c>
      <c r="B3" s="31"/>
      <c r="C3" s="86"/>
      <c r="D3" s="24" t="s">
        <v>14</v>
      </c>
      <c r="E3" s="22">
        <v>171.89</v>
      </c>
      <c r="F3" s="74"/>
      <c r="G3" s="80">
        <v>0</v>
      </c>
      <c r="H3" s="81"/>
      <c r="I3" s="44">
        <v>34.69</v>
      </c>
      <c r="J3" s="119"/>
      <c r="K3" s="80">
        <v>8.9499999999999993</v>
      </c>
      <c r="L3" s="81"/>
      <c r="M3" s="66">
        <v>2.83</v>
      </c>
      <c r="N3" s="67"/>
      <c r="O3" s="61">
        <v>48.91</v>
      </c>
      <c r="P3" s="57"/>
      <c r="Q3" s="44">
        <v>5.47</v>
      </c>
      <c r="R3" s="34"/>
      <c r="S3" s="50">
        <v>29.58</v>
      </c>
      <c r="T3" s="48"/>
      <c r="U3" s="44">
        <v>25.67</v>
      </c>
      <c r="V3" s="34"/>
      <c r="W3" s="50">
        <v>3.25</v>
      </c>
      <c r="X3" s="39"/>
      <c r="Y3" s="44">
        <f>2.84+0.24</f>
        <v>3.08</v>
      </c>
      <c r="Z3" s="34"/>
    </row>
    <row r="4" spans="1:26" x14ac:dyDescent="0.35">
      <c r="A4" s="25" t="s">
        <v>25</v>
      </c>
      <c r="B4" s="30" t="s">
        <v>28</v>
      </c>
      <c r="C4" s="121" t="s">
        <v>29</v>
      </c>
      <c r="D4" s="28" t="s">
        <v>9</v>
      </c>
      <c r="E4" s="29"/>
      <c r="F4" s="75"/>
      <c r="G4" s="82">
        <v>26.34</v>
      </c>
      <c r="H4" s="83"/>
      <c r="I4" s="55"/>
      <c r="J4" s="35"/>
      <c r="K4" s="82"/>
      <c r="L4" s="83"/>
      <c r="M4" s="92"/>
      <c r="N4" s="69"/>
      <c r="O4" s="62"/>
      <c r="P4" s="58"/>
      <c r="Q4" s="45"/>
      <c r="R4" s="36"/>
      <c r="S4" s="51"/>
      <c r="T4" s="40"/>
      <c r="U4" s="54"/>
      <c r="V4" s="35"/>
      <c r="W4" s="51"/>
      <c r="X4" s="40"/>
      <c r="Y4" s="45"/>
      <c r="Z4" s="35"/>
    </row>
    <row r="5" spans="1:26" x14ac:dyDescent="0.35">
      <c r="A5" s="25" t="s">
        <v>25</v>
      </c>
      <c r="B5" s="32" t="s">
        <v>30</v>
      </c>
      <c r="C5" s="87" t="s">
        <v>32</v>
      </c>
      <c r="D5" s="89" t="s">
        <v>31</v>
      </c>
      <c r="E5" s="29"/>
      <c r="F5" s="75"/>
      <c r="G5" s="82"/>
      <c r="H5" s="83">
        <v>26.34</v>
      </c>
      <c r="I5" s="55"/>
      <c r="J5" s="35"/>
      <c r="K5" s="82"/>
      <c r="L5" s="83"/>
      <c r="M5" s="92"/>
      <c r="N5" s="69"/>
      <c r="O5" s="62"/>
      <c r="P5" s="58"/>
      <c r="Q5" s="45"/>
      <c r="R5" s="36"/>
      <c r="S5" s="51"/>
      <c r="T5" s="40"/>
      <c r="U5" s="54"/>
      <c r="V5" s="35"/>
      <c r="W5" s="51"/>
      <c r="X5" s="40"/>
      <c r="Y5" s="45"/>
      <c r="Z5" s="35"/>
    </row>
    <row r="6" spans="1:26" x14ac:dyDescent="0.35">
      <c r="A6" s="25" t="s">
        <v>25</v>
      </c>
      <c r="B6" s="32" t="s">
        <v>23</v>
      </c>
      <c r="C6" s="87" t="s">
        <v>33</v>
      </c>
      <c r="D6" s="89" t="s">
        <v>27</v>
      </c>
      <c r="E6" s="29"/>
      <c r="F6" s="75">
        <f>1.24+1.24</f>
        <v>2.48</v>
      </c>
      <c r="G6" s="82"/>
      <c r="H6" s="83"/>
      <c r="I6" s="55"/>
      <c r="J6" s="35"/>
      <c r="K6" s="82"/>
      <c r="L6" s="83"/>
      <c r="M6" s="92"/>
      <c r="N6" s="69"/>
      <c r="O6" s="62"/>
      <c r="P6" s="58"/>
      <c r="Q6" s="45"/>
      <c r="R6" s="36"/>
      <c r="S6" s="51"/>
      <c r="T6" s="40"/>
      <c r="U6" s="54"/>
      <c r="V6" s="35"/>
      <c r="W6" s="51"/>
      <c r="X6" s="40"/>
      <c r="Y6" s="45"/>
      <c r="Z6" s="35"/>
    </row>
    <row r="7" spans="1:26" x14ac:dyDescent="0.35">
      <c r="A7" s="25" t="s">
        <v>36</v>
      </c>
      <c r="B7" s="32" t="s">
        <v>21</v>
      </c>
      <c r="C7" s="87" t="s">
        <v>35</v>
      </c>
      <c r="D7" s="89" t="s">
        <v>26</v>
      </c>
      <c r="E7" s="29"/>
      <c r="F7" s="75">
        <v>2.16</v>
      </c>
      <c r="G7" s="82"/>
      <c r="H7" s="83"/>
      <c r="I7" s="55"/>
      <c r="J7" s="35"/>
      <c r="K7" s="82"/>
      <c r="L7" s="83"/>
      <c r="M7" s="92"/>
      <c r="N7" s="69"/>
      <c r="O7" s="62"/>
      <c r="P7" s="58"/>
      <c r="Q7" s="45"/>
      <c r="R7" s="36"/>
      <c r="S7" s="51"/>
      <c r="T7" s="40"/>
      <c r="U7" s="54"/>
      <c r="V7" s="35"/>
      <c r="W7" s="51"/>
      <c r="X7" s="40"/>
      <c r="Y7" s="45"/>
      <c r="Z7" s="35"/>
    </row>
    <row r="8" spans="1:26" x14ac:dyDescent="0.35">
      <c r="A8" s="25" t="s">
        <v>39</v>
      </c>
      <c r="B8" s="32" t="s">
        <v>23</v>
      </c>
      <c r="C8" s="87" t="s">
        <v>45</v>
      </c>
      <c r="D8" s="89" t="s">
        <v>38</v>
      </c>
      <c r="E8" s="29"/>
      <c r="F8" s="75"/>
      <c r="G8" s="82"/>
      <c r="H8" s="83"/>
      <c r="I8" s="55"/>
      <c r="J8" s="35"/>
      <c r="K8" s="82"/>
      <c r="L8" s="83">
        <v>11.86</v>
      </c>
      <c r="M8" s="92"/>
      <c r="N8" s="69"/>
      <c r="O8" s="62"/>
      <c r="P8" s="58"/>
      <c r="Q8" s="45"/>
      <c r="R8" s="36"/>
      <c r="S8" s="51"/>
      <c r="T8" s="40"/>
      <c r="U8" s="54"/>
      <c r="V8" s="35">
        <v>9.08</v>
      </c>
      <c r="W8" s="51"/>
      <c r="X8" s="40"/>
      <c r="Y8" s="45"/>
      <c r="Z8" s="35"/>
    </row>
    <row r="9" spans="1:26" x14ac:dyDescent="0.35">
      <c r="A9" s="25" t="s">
        <v>40</v>
      </c>
      <c r="B9" s="30" t="s">
        <v>28</v>
      </c>
      <c r="C9" s="121" t="s">
        <v>41</v>
      </c>
      <c r="D9" s="28" t="s">
        <v>9</v>
      </c>
      <c r="E9" s="29"/>
      <c r="F9" s="75"/>
      <c r="G9" s="82">
        <v>28.43</v>
      </c>
      <c r="H9" s="83"/>
      <c r="I9" s="55"/>
      <c r="J9" s="35"/>
      <c r="K9" s="82"/>
      <c r="L9" s="83"/>
      <c r="M9" s="92"/>
      <c r="N9" s="69"/>
      <c r="O9" s="62"/>
      <c r="P9" s="58"/>
      <c r="Q9" s="45"/>
      <c r="R9" s="36"/>
      <c r="S9" s="51"/>
      <c r="T9" s="40"/>
      <c r="U9" s="54"/>
      <c r="V9" s="35"/>
      <c r="W9" s="51"/>
      <c r="X9" s="40"/>
      <c r="Y9" s="45"/>
      <c r="Z9" s="35"/>
    </row>
    <row r="10" spans="1:26" x14ac:dyDescent="0.35">
      <c r="A10" s="25" t="s">
        <v>40</v>
      </c>
      <c r="B10" s="32" t="s">
        <v>30</v>
      </c>
      <c r="C10" s="87" t="s">
        <v>44</v>
      </c>
      <c r="D10" s="89" t="s">
        <v>38</v>
      </c>
      <c r="E10" s="29"/>
      <c r="F10" s="75"/>
      <c r="G10" s="82"/>
      <c r="H10" s="83">
        <v>28.43</v>
      </c>
      <c r="I10" s="55"/>
      <c r="J10" s="35"/>
      <c r="K10" s="82"/>
      <c r="L10" s="83"/>
      <c r="M10" s="92"/>
      <c r="N10" s="69"/>
      <c r="O10" s="62"/>
      <c r="P10" s="58"/>
      <c r="Q10" s="45"/>
      <c r="R10" s="36"/>
      <c r="S10" s="51"/>
      <c r="T10" s="40"/>
      <c r="U10" s="54"/>
      <c r="V10" s="35"/>
      <c r="W10" s="51"/>
      <c r="X10" s="40"/>
      <c r="Y10" s="45"/>
      <c r="Z10" s="35"/>
    </row>
    <row r="11" spans="1:26" x14ac:dyDescent="0.35">
      <c r="A11" s="25" t="s">
        <v>48</v>
      </c>
      <c r="B11" s="32" t="s">
        <v>37</v>
      </c>
      <c r="C11" s="87" t="s">
        <v>49</v>
      </c>
      <c r="D11" s="89" t="s">
        <v>18</v>
      </c>
      <c r="E11" s="29"/>
      <c r="F11" s="75">
        <v>8.44</v>
      </c>
      <c r="G11" s="82"/>
      <c r="H11" s="83"/>
      <c r="I11" s="55"/>
      <c r="J11" s="35"/>
      <c r="K11" s="82"/>
      <c r="L11" s="83"/>
      <c r="M11" s="92"/>
      <c r="N11" s="69"/>
      <c r="O11" s="62"/>
      <c r="P11" s="58"/>
      <c r="Q11" s="45"/>
      <c r="R11" s="36"/>
      <c r="S11" s="51"/>
      <c r="T11" s="40"/>
      <c r="U11" s="54"/>
      <c r="V11" s="35"/>
      <c r="W11" s="51"/>
      <c r="X11" s="40"/>
      <c r="Y11" s="45"/>
      <c r="Z11" s="35"/>
    </row>
    <row r="12" spans="1:26" x14ac:dyDescent="0.35">
      <c r="A12" s="25" t="s">
        <v>42</v>
      </c>
      <c r="B12" s="30" t="s">
        <v>28</v>
      </c>
      <c r="C12" s="121" t="s">
        <v>43</v>
      </c>
      <c r="D12" s="28" t="s">
        <v>9</v>
      </c>
      <c r="E12" s="29"/>
      <c r="F12" s="75"/>
      <c r="G12" s="82">
        <v>22.13</v>
      </c>
      <c r="H12" s="83"/>
      <c r="I12" s="55"/>
      <c r="J12" s="35"/>
      <c r="K12" s="82"/>
      <c r="L12" s="83"/>
      <c r="M12" s="92"/>
      <c r="N12" s="69"/>
      <c r="O12" s="62"/>
      <c r="P12" s="58"/>
      <c r="Q12" s="45"/>
      <c r="R12" s="36"/>
      <c r="S12" s="51"/>
      <c r="T12" s="40"/>
      <c r="U12" s="54"/>
      <c r="V12" s="35"/>
      <c r="W12" s="51"/>
      <c r="X12" s="40"/>
      <c r="Y12" s="45"/>
      <c r="Z12" s="35"/>
    </row>
    <row r="13" spans="1:26" x14ac:dyDescent="0.35">
      <c r="A13" s="25" t="s">
        <v>42</v>
      </c>
      <c r="B13" s="32" t="s">
        <v>30</v>
      </c>
      <c r="C13" s="87" t="s">
        <v>46</v>
      </c>
      <c r="D13" s="89" t="s">
        <v>47</v>
      </c>
      <c r="E13" s="29"/>
      <c r="F13" s="75"/>
      <c r="G13" s="82"/>
      <c r="H13" s="83">
        <v>22.13</v>
      </c>
      <c r="I13" s="55"/>
      <c r="J13" s="35"/>
      <c r="K13" s="82"/>
      <c r="L13" s="83"/>
      <c r="M13" s="92"/>
      <c r="N13" s="69"/>
      <c r="O13" s="62"/>
      <c r="P13" s="58"/>
      <c r="Q13" s="45"/>
      <c r="R13" s="36"/>
      <c r="S13" s="51"/>
      <c r="T13" s="40"/>
      <c r="U13" s="54"/>
      <c r="V13" s="35"/>
      <c r="W13" s="51"/>
      <c r="X13" s="40"/>
      <c r="Y13" s="45"/>
      <c r="Z13" s="35"/>
    </row>
    <row r="14" spans="1:26" x14ac:dyDescent="0.35">
      <c r="A14" s="25" t="s">
        <v>42</v>
      </c>
      <c r="B14" s="32" t="s">
        <v>37</v>
      </c>
      <c r="C14" s="87" t="s">
        <v>50</v>
      </c>
      <c r="D14" s="89" t="s">
        <v>38</v>
      </c>
      <c r="E14" s="29"/>
      <c r="F14" s="75">
        <v>5.89</v>
      </c>
      <c r="G14" s="82"/>
      <c r="H14" s="83"/>
      <c r="I14" s="55"/>
      <c r="J14" s="35"/>
      <c r="K14" s="82"/>
      <c r="L14" s="83"/>
      <c r="M14" s="92"/>
      <c r="N14" s="69"/>
      <c r="O14" s="62"/>
      <c r="P14" s="58"/>
      <c r="Q14" s="45"/>
      <c r="R14" s="36"/>
      <c r="S14" s="51"/>
      <c r="T14" s="40"/>
      <c r="U14" s="54"/>
      <c r="V14" s="35"/>
      <c r="W14" s="51"/>
      <c r="X14" s="40"/>
      <c r="Y14" s="45"/>
      <c r="Z14" s="35"/>
    </row>
    <row r="15" spans="1:26" x14ac:dyDescent="0.35">
      <c r="A15" s="25" t="s">
        <v>56</v>
      </c>
      <c r="B15" s="32" t="s">
        <v>23</v>
      </c>
      <c r="C15" s="87" t="s">
        <v>57</v>
      </c>
      <c r="D15" s="122" t="s">
        <v>58</v>
      </c>
      <c r="E15" s="29"/>
      <c r="F15" s="75">
        <v>0.13</v>
      </c>
      <c r="G15" s="82"/>
      <c r="H15" s="83"/>
      <c r="I15" s="55"/>
      <c r="J15" s="35"/>
      <c r="K15" s="82"/>
      <c r="L15" s="83"/>
      <c r="M15" s="92"/>
      <c r="N15" s="69"/>
      <c r="O15" s="62"/>
      <c r="P15" s="58"/>
      <c r="Q15" s="45"/>
      <c r="R15" s="36"/>
      <c r="S15" s="51"/>
      <c r="T15" s="40"/>
      <c r="U15" s="54"/>
      <c r="V15" s="35"/>
      <c r="W15" s="51"/>
      <c r="X15" s="40"/>
      <c r="Y15" s="45"/>
      <c r="Z15" s="35"/>
    </row>
    <row r="16" spans="1:26" x14ac:dyDescent="0.35">
      <c r="A16" s="25" t="s">
        <v>54</v>
      </c>
      <c r="B16" s="32" t="s">
        <v>30</v>
      </c>
      <c r="C16" s="87" t="s">
        <v>55</v>
      </c>
      <c r="D16" s="89" t="s">
        <v>51</v>
      </c>
      <c r="E16" s="29"/>
      <c r="F16" s="75">
        <v>9.5500000000000007</v>
      </c>
      <c r="G16" s="82"/>
      <c r="H16" s="83"/>
      <c r="I16" s="55"/>
      <c r="J16" s="35"/>
      <c r="K16" s="82"/>
      <c r="L16" s="83"/>
      <c r="M16" s="92"/>
      <c r="N16" s="69"/>
      <c r="O16" s="62"/>
      <c r="P16" s="58"/>
      <c r="Q16" s="45"/>
      <c r="R16" s="36"/>
      <c r="S16" s="51"/>
      <c r="T16" s="40"/>
      <c r="U16" s="54"/>
      <c r="V16" s="35"/>
      <c r="W16" s="51"/>
      <c r="X16" s="40"/>
      <c r="Y16" s="45"/>
      <c r="Z16" s="35"/>
    </row>
    <row r="17" spans="1:26" x14ac:dyDescent="0.35">
      <c r="A17" s="25" t="s">
        <v>53</v>
      </c>
      <c r="B17" s="30" t="s">
        <v>24</v>
      </c>
      <c r="C17" s="88" t="s">
        <v>52</v>
      </c>
      <c r="D17" s="28" t="s">
        <v>9</v>
      </c>
      <c r="E17" s="29"/>
      <c r="F17" s="75"/>
      <c r="G17" s="82"/>
      <c r="H17" s="118"/>
      <c r="I17" s="55"/>
      <c r="J17" s="35"/>
      <c r="K17" s="82">
        <v>14.31</v>
      </c>
      <c r="L17" s="118"/>
      <c r="M17" s="92"/>
      <c r="N17" s="69"/>
      <c r="O17" s="62"/>
      <c r="P17" s="117"/>
      <c r="Q17" s="45"/>
      <c r="R17" s="36"/>
      <c r="S17" s="51"/>
      <c r="T17" s="40"/>
      <c r="U17" s="54">
        <v>3.97</v>
      </c>
      <c r="V17" s="35"/>
      <c r="W17" s="51"/>
      <c r="X17" s="40"/>
      <c r="Y17" s="45"/>
      <c r="Z17" s="35"/>
    </row>
    <row r="18" spans="1:26" ht="15" customHeight="1" x14ac:dyDescent="0.35">
      <c r="A18" s="25" t="s">
        <v>59</v>
      </c>
      <c r="B18" s="32" t="s">
        <v>21</v>
      </c>
      <c r="C18" s="87" t="s">
        <v>60</v>
      </c>
      <c r="D18" s="89" t="s">
        <v>61</v>
      </c>
      <c r="E18" s="29"/>
      <c r="F18" s="75">
        <f>3.28+0.33</f>
        <v>3.61</v>
      </c>
      <c r="G18" s="82"/>
      <c r="H18" s="83"/>
      <c r="I18" s="55"/>
      <c r="J18" s="35"/>
      <c r="K18" s="82"/>
      <c r="L18" s="83"/>
      <c r="M18" s="92"/>
      <c r="N18" s="69"/>
      <c r="O18" s="62"/>
      <c r="P18" s="117"/>
      <c r="Q18" s="45"/>
      <c r="R18" s="36"/>
      <c r="S18" s="51"/>
      <c r="T18" s="40">
        <v>0.36</v>
      </c>
      <c r="U18" s="54"/>
      <c r="V18" s="35"/>
      <c r="W18" s="51"/>
      <c r="X18" s="40"/>
      <c r="Y18" s="45"/>
      <c r="Z18" s="35"/>
    </row>
    <row r="19" spans="1:26" ht="15" customHeight="1" x14ac:dyDescent="0.35">
      <c r="A19" s="25"/>
      <c r="B19" s="32"/>
      <c r="C19" s="88"/>
      <c r="D19" s="28"/>
      <c r="E19" s="29"/>
      <c r="F19" s="75"/>
      <c r="G19" s="82"/>
      <c r="H19" s="83"/>
      <c r="I19" s="55"/>
      <c r="J19" s="35"/>
      <c r="K19" s="82"/>
      <c r="L19" s="83"/>
      <c r="M19" s="92"/>
      <c r="N19" s="69"/>
      <c r="O19" s="62"/>
      <c r="P19" s="117"/>
      <c r="Q19" s="45"/>
      <c r="R19" s="36"/>
      <c r="S19" s="51"/>
      <c r="T19" s="40"/>
      <c r="U19" s="54"/>
      <c r="V19" s="35"/>
      <c r="W19" s="51"/>
      <c r="X19" s="40"/>
      <c r="Y19" s="45"/>
      <c r="Z19" s="35"/>
    </row>
    <row r="20" spans="1:26" x14ac:dyDescent="0.35">
      <c r="A20" s="25"/>
      <c r="B20" s="32"/>
      <c r="C20" s="32"/>
      <c r="D20" s="26"/>
      <c r="E20" s="27"/>
      <c r="F20" s="76"/>
      <c r="G20" s="82"/>
      <c r="H20" s="83"/>
      <c r="I20" s="45"/>
      <c r="J20" s="36"/>
      <c r="K20" s="82"/>
      <c r="L20" s="83"/>
      <c r="M20" s="68"/>
      <c r="N20" s="69"/>
      <c r="O20" s="62"/>
      <c r="P20" s="58"/>
      <c r="Q20" s="45"/>
      <c r="R20" s="36"/>
      <c r="S20" s="52"/>
      <c r="T20" s="8"/>
      <c r="U20" s="55"/>
      <c r="V20" s="36"/>
      <c r="W20" s="52"/>
      <c r="X20" s="8"/>
      <c r="Y20" s="45"/>
      <c r="Z20" s="36"/>
    </row>
    <row r="21" spans="1:26" ht="15" thickBot="1" x14ac:dyDescent="0.4">
      <c r="A21" s="16"/>
      <c r="B21" s="16"/>
      <c r="C21" s="16"/>
      <c r="D21" s="17"/>
      <c r="E21" s="23">
        <f t="shared" ref="E21:Y21" si="0">SUM(E3:E20)</f>
        <v>171.89</v>
      </c>
      <c r="F21" s="77">
        <f t="shared" si="0"/>
        <v>32.26</v>
      </c>
      <c r="G21" s="84">
        <f t="shared" si="0"/>
        <v>76.899999999999991</v>
      </c>
      <c r="H21" s="85">
        <f t="shared" si="0"/>
        <v>76.899999999999991</v>
      </c>
      <c r="I21" s="46">
        <f t="shared" si="0"/>
        <v>34.69</v>
      </c>
      <c r="J21" s="37">
        <f t="shared" si="0"/>
        <v>0</v>
      </c>
      <c r="K21" s="84">
        <f t="shared" si="0"/>
        <v>23.259999999999998</v>
      </c>
      <c r="L21" s="85">
        <f t="shared" si="0"/>
        <v>11.86</v>
      </c>
      <c r="M21" s="70">
        <f t="shared" si="0"/>
        <v>2.83</v>
      </c>
      <c r="N21" s="71">
        <f t="shared" si="0"/>
        <v>0</v>
      </c>
      <c r="O21" s="63">
        <f t="shared" si="0"/>
        <v>48.91</v>
      </c>
      <c r="P21" s="59">
        <f t="shared" si="0"/>
        <v>0</v>
      </c>
      <c r="Q21" s="46">
        <f t="shared" si="0"/>
        <v>5.47</v>
      </c>
      <c r="R21" s="37">
        <f t="shared" si="0"/>
        <v>0</v>
      </c>
      <c r="S21" s="53">
        <f t="shared" si="0"/>
        <v>29.58</v>
      </c>
      <c r="T21" s="41">
        <f t="shared" si="0"/>
        <v>0.36</v>
      </c>
      <c r="U21" s="46">
        <f t="shared" si="0"/>
        <v>29.64</v>
      </c>
      <c r="V21" s="37">
        <f t="shared" si="0"/>
        <v>9.08</v>
      </c>
      <c r="W21" s="53">
        <f t="shared" si="0"/>
        <v>3.25</v>
      </c>
      <c r="X21" s="41">
        <f t="shared" si="0"/>
        <v>0</v>
      </c>
      <c r="Y21" s="46">
        <f t="shared" si="0"/>
        <v>3.08</v>
      </c>
      <c r="Z21" s="37">
        <f>SUM(Z4:Z20)</f>
        <v>0</v>
      </c>
    </row>
    <row r="22" spans="1:26" ht="15" thickBot="1" x14ac:dyDescent="0.4">
      <c r="A22" s="10"/>
      <c r="B22" s="10" t="s">
        <v>7</v>
      </c>
      <c r="C22" s="10"/>
      <c r="D22" s="14"/>
      <c r="E22" s="11"/>
      <c r="F22" s="42">
        <f>E21-F21</f>
        <v>139.63</v>
      </c>
      <c r="G22" s="6"/>
      <c r="H22" s="7">
        <f>G21-H21</f>
        <v>0</v>
      </c>
      <c r="I22" s="6"/>
      <c r="J22" s="7">
        <f>I21-J21</f>
        <v>34.69</v>
      </c>
      <c r="K22" s="6"/>
      <c r="L22" s="7">
        <f>K21-L21</f>
        <v>11.399999999999999</v>
      </c>
      <c r="M22" s="6"/>
      <c r="N22" s="7">
        <f>M21-N21</f>
        <v>2.83</v>
      </c>
      <c r="O22" s="11"/>
      <c r="P22" s="42">
        <f>O21-P21</f>
        <v>48.91</v>
      </c>
      <c r="Q22" s="6"/>
      <c r="R22" s="7">
        <f>Q21-R21</f>
        <v>5.47</v>
      </c>
      <c r="S22" s="11"/>
      <c r="T22" s="42">
        <f>S21-T21</f>
        <v>29.22</v>
      </c>
      <c r="U22" s="6"/>
      <c r="V22" s="7">
        <f>U21-V21</f>
        <v>20.560000000000002</v>
      </c>
      <c r="W22" s="11"/>
      <c r="X22" s="42">
        <f>W21-X21</f>
        <v>3.25</v>
      </c>
      <c r="Y22" s="6"/>
      <c r="Z22" s="7">
        <f>Y21-Z21</f>
        <v>3.08</v>
      </c>
    </row>
    <row r="23" spans="1:26" ht="15" thickBot="1" x14ac:dyDescent="0.4">
      <c r="A23" s="93"/>
      <c r="B23" s="93"/>
      <c r="C23" s="93"/>
      <c r="D23" s="12"/>
      <c r="E23" s="94"/>
      <c r="F23" s="95"/>
      <c r="G23" s="96"/>
      <c r="H23" s="97"/>
      <c r="I23" s="101"/>
      <c r="J23" s="120"/>
      <c r="K23" s="96"/>
      <c r="L23" s="97"/>
      <c r="M23" s="72"/>
      <c r="N23" s="98"/>
      <c r="O23" s="99"/>
      <c r="P23" s="100"/>
      <c r="Q23" s="101"/>
      <c r="R23" s="102"/>
      <c r="S23" s="18"/>
      <c r="T23" s="103"/>
      <c r="U23" s="47"/>
      <c r="V23" s="102"/>
      <c r="W23" s="18"/>
      <c r="X23" s="103"/>
      <c r="Y23" s="47"/>
      <c r="Z23" s="102"/>
    </row>
    <row r="24" spans="1:26" ht="15" thickBot="1" x14ac:dyDescent="0.4">
      <c r="A24" s="104"/>
      <c r="B24" s="90" t="s">
        <v>8</v>
      </c>
      <c r="C24" s="90"/>
      <c r="D24" s="105"/>
      <c r="E24" s="106"/>
      <c r="F24" s="107">
        <f>F22-F23</f>
        <v>139.63</v>
      </c>
      <c r="G24" s="108"/>
      <c r="H24" s="109">
        <f>H22-H23</f>
        <v>0</v>
      </c>
      <c r="I24" s="114"/>
      <c r="J24" s="115">
        <f>J22-J23</f>
        <v>34.69</v>
      </c>
      <c r="K24" s="108"/>
      <c r="L24" s="109">
        <f>L22-L23</f>
        <v>11.399999999999999</v>
      </c>
      <c r="M24" s="110"/>
      <c r="N24" s="111">
        <f>N22-N23</f>
        <v>2.83</v>
      </c>
      <c r="O24" s="112"/>
      <c r="P24" s="113">
        <f>P22-P23</f>
        <v>48.91</v>
      </c>
      <c r="Q24" s="114"/>
      <c r="R24" s="115">
        <f>R22-R23</f>
        <v>5.47</v>
      </c>
      <c r="S24" s="116"/>
      <c r="T24" s="113">
        <f>T22-T23</f>
        <v>29.22</v>
      </c>
      <c r="U24" s="114"/>
      <c r="V24" s="115">
        <f>V22-V23</f>
        <v>20.560000000000002</v>
      </c>
      <c r="W24" s="116"/>
      <c r="X24" s="113">
        <f>X22-X23</f>
        <v>3.25</v>
      </c>
      <c r="Y24" s="114"/>
      <c r="Z24" s="115">
        <f>Z22-Z23</f>
        <v>3.08</v>
      </c>
    </row>
    <row r="25" spans="1:26" x14ac:dyDescent="0.35">
      <c r="F25" s="2"/>
      <c r="G25" s="2"/>
      <c r="H25" s="2"/>
    </row>
    <row r="26" spans="1:26" x14ac:dyDescent="0.35">
      <c r="E26" s="2"/>
      <c r="F26" s="2"/>
      <c r="G26" s="2"/>
      <c r="H26" s="2"/>
      <c r="I26" s="2"/>
      <c r="J26" s="2"/>
    </row>
    <row r="27" spans="1:26" x14ac:dyDescent="0.35">
      <c r="B27" s="2"/>
    </row>
    <row r="28" spans="1:26" x14ac:dyDescent="0.35">
      <c r="E28" s="2"/>
    </row>
    <row r="29" spans="1:26" x14ac:dyDescent="0.35">
      <c r="E29" s="2"/>
    </row>
    <row r="30" spans="1:26" x14ac:dyDescent="0.35">
      <c r="E30" s="2"/>
    </row>
    <row r="31" spans="1:26" x14ac:dyDescent="0.35">
      <c r="E31" s="2"/>
    </row>
    <row r="32" spans="1:26" x14ac:dyDescent="0.35">
      <c r="D32" s="3"/>
      <c r="E32" s="2"/>
    </row>
    <row r="33" spans="4:5" x14ac:dyDescent="0.35">
      <c r="E33" s="2"/>
    </row>
    <row r="34" spans="4:5" x14ac:dyDescent="0.35">
      <c r="E34" s="2"/>
    </row>
    <row r="35" spans="4:5" x14ac:dyDescent="0.35">
      <c r="E35" s="2"/>
    </row>
    <row r="37" spans="4:5" x14ac:dyDescent="0.35">
      <c r="D37" s="3"/>
      <c r="E37" s="2"/>
    </row>
    <row r="38" spans="4:5" x14ac:dyDescent="0.35">
      <c r="D38" s="3"/>
      <c r="E38" s="2"/>
    </row>
    <row r="39" spans="4:5" x14ac:dyDescent="0.35">
      <c r="D39" s="3"/>
      <c r="E39" s="2"/>
    </row>
    <row r="40" spans="4:5" x14ac:dyDescent="0.35">
      <c r="D40" s="3"/>
      <c r="E40" s="2"/>
    </row>
    <row r="41" spans="4:5" x14ac:dyDescent="0.35">
      <c r="D41" s="3"/>
      <c r="E41" s="2"/>
    </row>
    <row r="42" spans="4:5" x14ac:dyDescent="0.35">
      <c r="D42" s="3"/>
      <c r="E42" s="2"/>
    </row>
    <row r="43" spans="4:5" x14ac:dyDescent="0.35">
      <c r="E43" s="2"/>
    </row>
  </sheetData>
  <mergeCells count="11">
    <mergeCell ref="S1:T1"/>
    <mergeCell ref="U1:V1"/>
    <mergeCell ref="W1:X1"/>
    <mergeCell ref="Y1:Z1"/>
    <mergeCell ref="E1:F1"/>
    <mergeCell ref="I1:J1"/>
    <mergeCell ref="K1:L1"/>
    <mergeCell ref="M1:N1"/>
    <mergeCell ref="O1:P1"/>
    <mergeCell ref="Q1:R1"/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3DBE8-D191-4D5F-9A62-8B6080ADD7B8}">
  <dimension ref="A1:X61"/>
  <sheetViews>
    <sheetView workbookViewId="0">
      <selection activeCell="B9" sqref="B9"/>
    </sheetView>
  </sheetViews>
  <sheetFormatPr defaultColWidth="9.08984375" defaultRowHeight="14.5" x14ac:dyDescent="0.35"/>
  <cols>
    <col min="1" max="1" width="11.6328125" style="1" bestFit="1" customWidth="1"/>
    <col min="2" max="2" width="33" style="1" bestFit="1" customWidth="1"/>
    <col min="3" max="3" width="18.453125" style="1" bestFit="1" customWidth="1"/>
    <col min="4" max="4" width="27.08984375" style="1" bestFit="1" customWidth="1"/>
    <col min="5" max="11" width="9.08984375" style="1"/>
    <col min="12" max="12" width="9.6328125" style="1" bestFit="1" customWidth="1"/>
    <col min="13" max="16384" width="9.08984375" style="1"/>
  </cols>
  <sheetData>
    <row r="1" spans="1:24" ht="15" thickBot="1" x14ac:dyDescent="0.4">
      <c r="A1" s="8"/>
      <c r="B1" s="12"/>
      <c r="C1" s="19"/>
      <c r="D1" s="12"/>
      <c r="E1" s="127" t="s">
        <v>10</v>
      </c>
      <c r="F1" s="128"/>
      <c r="G1" s="123" t="s">
        <v>20</v>
      </c>
      <c r="H1" s="124"/>
      <c r="I1" s="129" t="s">
        <v>12</v>
      </c>
      <c r="J1" s="130"/>
      <c r="K1" s="131" t="s">
        <v>4</v>
      </c>
      <c r="L1" s="132"/>
      <c r="M1" s="133" t="s">
        <v>11</v>
      </c>
      <c r="N1" s="134"/>
      <c r="O1" s="123" t="s">
        <v>5</v>
      </c>
      <c r="P1" s="124"/>
      <c r="Q1" s="125" t="s">
        <v>6</v>
      </c>
      <c r="R1" s="126"/>
      <c r="S1" s="123" t="s">
        <v>13</v>
      </c>
      <c r="T1" s="124"/>
      <c r="U1" s="125" t="s">
        <v>15</v>
      </c>
      <c r="V1" s="126"/>
      <c r="W1" s="123" t="s">
        <v>16</v>
      </c>
      <c r="X1" s="124"/>
    </row>
    <row r="2" spans="1:24" ht="15" thickBot="1" x14ac:dyDescent="0.4">
      <c r="A2" s="9" t="s">
        <v>0</v>
      </c>
      <c r="B2" s="13" t="s">
        <v>1</v>
      </c>
      <c r="C2" s="20"/>
      <c r="D2" s="13"/>
      <c r="E2" s="21" t="s">
        <v>2</v>
      </c>
      <c r="F2" s="73" t="s">
        <v>3</v>
      </c>
      <c r="G2" s="43" t="s">
        <v>2</v>
      </c>
      <c r="H2" s="33" t="s">
        <v>3</v>
      </c>
      <c r="I2" s="78" t="s">
        <v>2</v>
      </c>
      <c r="J2" s="79" t="s">
        <v>3</v>
      </c>
      <c r="K2" s="64" t="s">
        <v>2</v>
      </c>
      <c r="L2" s="65" t="s">
        <v>3</v>
      </c>
      <c r="M2" s="60" t="s">
        <v>2</v>
      </c>
      <c r="N2" s="56" t="s">
        <v>3</v>
      </c>
      <c r="O2" s="43" t="s">
        <v>2</v>
      </c>
      <c r="P2" s="33" t="s">
        <v>3</v>
      </c>
      <c r="Q2" s="49" t="s">
        <v>2</v>
      </c>
      <c r="R2" s="38" t="s">
        <v>3</v>
      </c>
      <c r="S2" s="43" t="s">
        <v>2</v>
      </c>
      <c r="T2" s="33" t="s">
        <v>3</v>
      </c>
      <c r="U2" s="49" t="s">
        <v>2</v>
      </c>
      <c r="V2" s="38" t="s">
        <v>3</v>
      </c>
      <c r="W2" s="43" t="s">
        <v>2</v>
      </c>
      <c r="X2" s="33" t="s">
        <v>3</v>
      </c>
    </row>
    <row r="3" spans="1:24" x14ac:dyDescent="0.35">
      <c r="A3" s="15" t="s">
        <v>62</v>
      </c>
      <c r="B3" s="31"/>
      <c r="C3" s="86"/>
      <c r="D3" s="24" t="s">
        <v>14</v>
      </c>
      <c r="E3" s="22">
        <v>139.63</v>
      </c>
      <c r="F3" s="74"/>
      <c r="G3" s="44">
        <v>34.69</v>
      </c>
      <c r="H3" s="119"/>
      <c r="I3" s="80">
        <v>11.4</v>
      </c>
      <c r="J3" s="81"/>
      <c r="K3" s="66">
        <v>2.83</v>
      </c>
      <c r="L3" s="67"/>
      <c r="M3" s="61">
        <v>48.91</v>
      </c>
      <c r="N3" s="57"/>
      <c r="O3" s="44">
        <v>5.47</v>
      </c>
      <c r="P3" s="34"/>
      <c r="Q3" s="50">
        <v>29.22</v>
      </c>
      <c r="R3" s="48"/>
      <c r="S3" s="44">
        <v>20.56</v>
      </c>
      <c r="T3" s="34"/>
      <c r="U3" s="50">
        <v>3.25</v>
      </c>
      <c r="V3" s="39"/>
      <c r="W3" s="44">
        <f>2.84+0.24</f>
        <v>3.08</v>
      </c>
      <c r="X3" s="34"/>
    </row>
    <row r="4" spans="1:24" ht="15" customHeight="1" x14ac:dyDescent="0.35">
      <c r="A4" s="25" t="s">
        <v>62</v>
      </c>
      <c r="B4" s="32" t="s">
        <v>30</v>
      </c>
      <c r="C4" s="87" t="s">
        <v>63</v>
      </c>
      <c r="D4" s="89" t="s">
        <v>64</v>
      </c>
      <c r="E4" s="29"/>
      <c r="F4" s="75">
        <f>5.54+4.66+0.77</f>
        <v>10.969999999999999</v>
      </c>
      <c r="G4" s="55"/>
      <c r="H4" s="35"/>
      <c r="I4" s="82"/>
      <c r="J4" s="83"/>
      <c r="K4" s="92"/>
      <c r="L4" s="69"/>
      <c r="M4" s="62"/>
      <c r="N4" s="117"/>
      <c r="O4" s="45"/>
      <c r="P4" s="36"/>
      <c r="Q4" s="51"/>
      <c r="R4" s="40"/>
      <c r="S4" s="54"/>
      <c r="T4" s="35"/>
      <c r="U4" s="51"/>
      <c r="V4" s="40"/>
      <c r="W4" s="45"/>
      <c r="X4" s="35"/>
    </row>
    <row r="5" spans="1:24" ht="15" customHeight="1" x14ac:dyDescent="0.35">
      <c r="A5" s="25" t="s">
        <v>67</v>
      </c>
      <c r="B5" s="32" t="s">
        <v>30</v>
      </c>
      <c r="C5" s="87" t="s">
        <v>66</v>
      </c>
      <c r="D5" s="89" t="s">
        <v>65</v>
      </c>
      <c r="E5" s="29"/>
      <c r="F5" s="75">
        <f>8.74+3.22</f>
        <v>11.96</v>
      </c>
      <c r="G5" s="55"/>
      <c r="H5" s="35"/>
      <c r="I5" s="82"/>
      <c r="J5" s="83"/>
      <c r="K5" s="92"/>
      <c r="L5" s="69">
        <f>1.1+0.31</f>
        <v>1.4100000000000001</v>
      </c>
      <c r="M5" s="62"/>
      <c r="N5" s="117"/>
      <c r="O5" s="45"/>
      <c r="P5" s="36"/>
      <c r="Q5" s="51"/>
      <c r="R5" s="40"/>
      <c r="S5" s="54"/>
      <c r="T5" s="35"/>
      <c r="U5" s="51"/>
      <c r="V5" s="40"/>
      <c r="W5" s="45"/>
      <c r="X5" s="35"/>
    </row>
    <row r="6" spans="1:24" ht="15" customHeight="1" x14ac:dyDescent="0.35">
      <c r="A6" s="25" t="s">
        <v>68</v>
      </c>
      <c r="B6" s="32" t="s">
        <v>21</v>
      </c>
      <c r="C6" s="87" t="s">
        <v>69</v>
      </c>
      <c r="D6" s="89" t="s">
        <v>70</v>
      </c>
      <c r="E6" s="29"/>
      <c r="F6" s="75">
        <v>0.32</v>
      </c>
      <c r="G6" s="55"/>
      <c r="H6" s="35"/>
      <c r="I6" s="82"/>
      <c r="J6" s="83"/>
      <c r="K6" s="92"/>
      <c r="L6" s="69"/>
      <c r="M6" s="62"/>
      <c r="N6" s="117"/>
      <c r="O6" s="45"/>
      <c r="P6" s="36"/>
      <c r="Q6" s="51"/>
      <c r="R6" s="40"/>
      <c r="S6" s="54"/>
      <c r="T6" s="35"/>
      <c r="U6" s="51"/>
      <c r="V6" s="40"/>
      <c r="W6" s="45"/>
      <c r="X6" s="35"/>
    </row>
    <row r="7" spans="1:24" ht="15" customHeight="1" x14ac:dyDescent="0.35">
      <c r="A7" s="25" t="s">
        <v>71</v>
      </c>
      <c r="B7" s="32" t="s">
        <v>30</v>
      </c>
      <c r="C7" s="87" t="s">
        <v>72</v>
      </c>
      <c r="D7" s="89" t="s">
        <v>73</v>
      </c>
      <c r="E7" s="29"/>
      <c r="F7" s="75">
        <v>3.18</v>
      </c>
      <c r="G7" s="55"/>
      <c r="H7" s="35"/>
      <c r="I7" s="82"/>
      <c r="J7" s="83"/>
      <c r="K7" s="92"/>
      <c r="L7" s="69">
        <v>0.25</v>
      </c>
      <c r="M7" s="62"/>
      <c r="N7" s="117"/>
      <c r="O7" s="45"/>
      <c r="P7" s="36"/>
      <c r="Q7" s="51"/>
      <c r="R7" s="40"/>
      <c r="S7" s="54"/>
      <c r="T7" s="35"/>
      <c r="U7" s="51"/>
      <c r="V7" s="40"/>
      <c r="W7" s="45"/>
      <c r="X7" s="35"/>
    </row>
    <row r="8" spans="1:24" ht="15" customHeight="1" x14ac:dyDescent="0.35">
      <c r="A8" s="25"/>
      <c r="B8" s="32"/>
      <c r="C8" s="91"/>
      <c r="D8" s="89"/>
      <c r="E8" s="29"/>
      <c r="F8" s="75"/>
      <c r="G8" s="55"/>
      <c r="H8" s="35"/>
      <c r="I8" s="82"/>
      <c r="J8" s="83"/>
      <c r="K8" s="92"/>
      <c r="L8" s="69"/>
      <c r="M8" s="62"/>
      <c r="N8" s="117"/>
      <c r="O8" s="45"/>
      <c r="P8" s="36"/>
      <c r="Q8" s="51"/>
      <c r="R8" s="40"/>
      <c r="S8" s="54"/>
      <c r="T8" s="35"/>
      <c r="U8" s="51"/>
      <c r="V8" s="40"/>
      <c r="W8" s="45"/>
      <c r="X8" s="35"/>
    </row>
    <row r="9" spans="1:24" x14ac:dyDescent="0.35">
      <c r="A9" s="25"/>
      <c r="B9" s="32"/>
      <c r="C9" s="32"/>
      <c r="D9" s="26"/>
      <c r="E9" s="27"/>
      <c r="F9" s="76"/>
      <c r="G9" s="45"/>
      <c r="H9" s="36"/>
      <c r="I9" s="82"/>
      <c r="J9" s="83"/>
      <c r="K9" s="68"/>
      <c r="L9" s="69"/>
      <c r="M9" s="62"/>
      <c r="N9" s="58"/>
      <c r="O9" s="45"/>
      <c r="P9" s="36"/>
      <c r="Q9" s="52"/>
      <c r="R9" s="8"/>
      <c r="S9" s="55"/>
      <c r="T9" s="36"/>
      <c r="U9" s="52"/>
      <c r="V9" s="8"/>
      <c r="W9" s="45"/>
      <c r="X9" s="36"/>
    </row>
    <row r="10" spans="1:24" ht="15" thickBot="1" x14ac:dyDescent="0.4">
      <c r="A10" s="16"/>
      <c r="B10" s="16"/>
      <c r="C10" s="16"/>
      <c r="D10" s="17"/>
      <c r="E10" s="23">
        <f t="shared" ref="E10:W10" si="0">SUM(E3:E9)</f>
        <v>139.63</v>
      </c>
      <c r="F10" s="77">
        <f t="shared" si="0"/>
        <v>26.43</v>
      </c>
      <c r="G10" s="46">
        <f t="shared" si="0"/>
        <v>34.69</v>
      </c>
      <c r="H10" s="37">
        <f t="shared" si="0"/>
        <v>0</v>
      </c>
      <c r="I10" s="84">
        <f t="shared" si="0"/>
        <v>11.4</v>
      </c>
      <c r="J10" s="85">
        <f t="shared" si="0"/>
        <v>0</v>
      </c>
      <c r="K10" s="70">
        <f t="shared" si="0"/>
        <v>2.83</v>
      </c>
      <c r="L10" s="71">
        <f t="shared" si="0"/>
        <v>1.6600000000000001</v>
      </c>
      <c r="M10" s="63">
        <f t="shared" si="0"/>
        <v>48.91</v>
      </c>
      <c r="N10" s="59">
        <f t="shared" si="0"/>
        <v>0</v>
      </c>
      <c r="O10" s="46">
        <f t="shared" si="0"/>
        <v>5.47</v>
      </c>
      <c r="P10" s="37">
        <f t="shared" si="0"/>
        <v>0</v>
      </c>
      <c r="Q10" s="53">
        <f t="shared" si="0"/>
        <v>29.22</v>
      </c>
      <c r="R10" s="41">
        <f t="shared" si="0"/>
        <v>0</v>
      </c>
      <c r="S10" s="46">
        <f t="shared" si="0"/>
        <v>20.56</v>
      </c>
      <c r="T10" s="37">
        <f t="shared" si="0"/>
        <v>0</v>
      </c>
      <c r="U10" s="53">
        <f t="shared" si="0"/>
        <v>3.25</v>
      </c>
      <c r="V10" s="41">
        <f t="shared" si="0"/>
        <v>0</v>
      </c>
      <c r="W10" s="46">
        <f t="shared" si="0"/>
        <v>3.08</v>
      </c>
      <c r="X10" s="37">
        <f>SUM(X4:X9)</f>
        <v>0</v>
      </c>
    </row>
    <row r="11" spans="1:24" ht="15" thickBot="1" x14ac:dyDescent="0.4">
      <c r="A11" s="10"/>
      <c r="B11" s="10" t="s">
        <v>7</v>
      </c>
      <c r="C11" s="10"/>
      <c r="D11" s="14"/>
      <c r="E11" s="11"/>
      <c r="F11" s="42">
        <f>E10-F10</f>
        <v>113.19999999999999</v>
      </c>
      <c r="G11" s="6"/>
      <c r="H11" s="7">
        <f>G10-H10</f>
        <v>34.69</v>
      </c>
      <c r="I11" s="6"/>
      <c r="J11" s="7">
        <f>I10-J10</f>
        <v>11.4</v>
      </c>
      <c r="K11" s="6"/>
      <c r="L11" s="7">
        <f>K10-L10</f>
        <v>1.17</v>
      </c>
      <c r="M11" s="11"/>
      <c r="N11" s="42">
        <f>M10-N10</f>
        <v>48.91</v>
      </c>
      <c r="O11" s="6"/>
      <c r="P11" s="7">
        <f>O10-P10</f>
        <v>5.47</v>
      </c>
      <c r="Q11" s="11"/>
      <c r="R11" s="42">
        <f>Q10-R10</f>
        <v>29.22</v>
      </c>
      <c r="S11" s="6"/>
      <c r="T11" s="7">
        <f>S10-T10</f>
        <v>20.56</v>
      </c>
      <c r="U11" s="11"/>
      <c r="V11" s="42">
        <f>U10-V10</f>
        <v>3.25</v>
      </c>
      <c r="W11" s="6"/>
      <c r="X11" s="7">
        <f>W10-X10</f>
        <v>3.08</v>
      </c>
    </row>
    <row r="12" spans="1:24" ht="15" thickBot="1" x14ac:dyDescent="0.4">
      <c r="A12" s="93"/>
      <c r="B12" s="93"/>
      <c r="C12" s="93"/>
      <c r="D12" s="12"/>
      <c r="E12" s="94"/>
      <c r="F12" s="95"/>
      <c r="G12" s="101"/>
      <c r="H12" s="120"/>
      <c r="I12" s="96"/>
      <c r="J12" s="97"/>
      <c r="K12" s="72"/>
      <c r="L12" s="98"/>
      <c r="M12" s="99"/>
      <c r="N12" s="100"/>
      <c r="O12" s="101"/>
      <c r="P12" s="102"/>
      <c r="Q12" s="18"/>
      <c r="R12" s="103"/>
      <c r="S12" s="47"/>
      <c r="T12" s="102"/>
      <c r="U12" s="18"/>
      <c r="V12" s="103"/>
      <c r="W12" s="47"/>
      <c r="X12" s="102"/>
    </row>
    <row r="13" spans="1:24" ht="15" thickBot="1" x14ac:dyDescent="0.4">
      <c r="A13" s="104"/>
      <c r="B13" s="90" t="s">
        <v>8</v>
      </c>
      <c r="C13" s="90"/>
      <c r="D13" s="105"/>
      <c r="E13" s="106"/>
      <c r="F13" s="107">
        <f>F11-F12</f>
        <v>113.19999999999999</v>
      </c>
      <c r="G13" s="114"/>
      <c r="H13" s="115">
        <f>H11-H12</f>
        <v>34.69</v>
      </c>
      <c r="I13" s="108"/>
      <c r="J13" s="109">
        <f>J11-J12</f>
        <v>11.4</v>
      </c>
      <c r="K13" s="110"/>
      <c r="L13" s="111">
        <f>L11-L12</f>
        <v>1.17</v>
      </c>
      <c r="M13" s="112"/>
      <c r="N13" s="113">
        <f>N11-N12</f>
        <v>48.91</v>
      </c>
      <c r="O13" s="114"/>
      <c r="P13" s="115">
        <f>P11-P12</f>
        <v>5.47</v>
      </c>
      <c r="Q13" s="116"/>
      <c r="R13" s="113">
        <f>R11-R12</f>
        <v>29.22</v>
      </c>
      <c r="S13" s="114"/>
      <c r="T13" s="115">
        <f>T11-T12</f>
        <v>20.56</v>
      </c>
      <c r="U13" s="116"/>
      <c r="V13" s="113">
        <f>V11-V12</f>
        <v>3.25</v>
      </c>
      <c r="W13" s="114"/>
      <c r="X13" s="115">
        <f>X11-X12</f>
        <v>3.08</v>
      </c>
    </row>
    <row r="14" spans="1:24" x14ac:dyDescent="0.35">
      <c r="F14" s="2"/>
    </row>
    <row r="15" spans="1:24" x14ac:dyDescent="0.35">
      <c r="E15" s="2"/>
      <c r="F15" s="2"/>
      <c r="G15" s="2"/>
      <c r="H15" s="2"/>
    </row>
    <row r="16" spans="1:24" x14ac:dyDescent="0.35">
      <c r="B16" s="2"/>
    </row>
    <row r="17" spans="4:17" x14ac:dyDescent="0.35">
      <c r="E17" s="2"/>
      <c r="J17" s="2"/>
      <c r="K17" s="2"/>
      <c r="M17" s="2"/>
    </row>
    <row r="18" spans="4:17" x14ac:dyDescent="0.35">
      <c r="E18" s="2"/>
      <c r="F18" s="4"/>
      <c r="G18" s="4"/>
      <c r="H18" s="4"/>
      <c r="J18" s="2"/>
      <c r="K18" s="2"/>
    </row>
    <row r="19" spans="4:17" x14ac:dyDescent="0.35">
      <c r="E19" s="2"/>
      <c r="F19" s="2"/>
      <c r="G19" s="2"/>
      <c r="H19" s="2"/>
      <c r="I19" s="3"/>
      <c r="J19" s="2"/>
      <c r="K19" s="2"/>
    </row>
    <row r="20" spans="4:17" x14ac:dyDescent="0.35">
      <c r="E20" s="2"/>
      <c r="F20" s="2"/>
      <c r="G20" s="2"/>
      <c r="H20" s="2"/>
      <c r="I20" s="3"/>
      <c r="J20" s="2"/>
    </row>
    <row r="21" spans="4:17" x14ac:dyDescent="0.35">
      <c r="E21" s="2"/>
      <c r="F21" s="5"/>
      <c r="G21" s="5"/>
      <c r="H21" s="5"/>
    </row>
    <row r="22" spans="4:17" x14ac:dyDescent="0.35">
      <c r="E22" s="2"/>
      <c r="F22" s="5"/>
      <c r="G22" s="5"/>
      <c r="H22" s="5"/>
    </row>
    <row r="23" spans="4:17" x14ac:dyDescent="0.35">
      <c r="D23" s="3"/>
      <c r="E23" s="2"/>
      <c r="F23" s="5"/>
      <c r="G23" s="5"/>
      <c r="H23" s="5"/>
    </row>
    <row r="24" spans="4:17" x14ac:dyDescent="0.35">
      <c r="E24" s="2"/>
      <c r="F24" s="5"/>
      <c r="G24" s="5"/>
      <c r="H24" s="5"/>
    </row>
    <row r="25" spans="4:17" x14ac:dyDescent="0.35">
      <c r="E25" s="2"/>
      <c r="F25" s="2"/>
      <c r="G25" s="2"/>
      <c r="H25" s="2"/>
      <c r="Q25" s="2"/>
    </row>
    <row r="26" spans="4:17" x14ac:dyDescent="0.35">
      <c r="E26" s="2"/>
      <c r="K26" s="4"/>
    </row>
    <row r="27" spans="4:17" x14ac:dyDescent="0.35">
      <c r="F27" s="2"/>
      <c r="G27" s="2"/>
      <c r="H27" s="2"/>
    </row>
    <row r="28" spans="4:17" x14ac:dyDescent="0.35">
      <c r="D28" s="3"/>
      <c r="E28" s="2"/>
    </row>
    <row r="29" spans="4:17" x14ac:dyDescent="0.35">
      <c r="D29" s="3"/>
      <c r="E29" s="2"/>
    </row>
    <row r="30" spans="4:17" x14ac:dyDescent="0.35">
      <c r="D30" s="3"/>
      <c r="E30" s="2"/>
    </row>
    <row r="31" spans="4:17" x14ac:dyDescent="0.35">
      <c r="D31" s="3"/>
      <c r="E31" s="2"/>
    </row>
    <row r="32" spans="4:17" x14ac:dyDescent="0.35">
      <c r="D32" s="3"/>
      <c r="E32" s="2"/>
    </row>
    <row r="33" spans="3:9" x14ac:dyDescent="0.35">
      <c r="D33" s="3"/>
      <c r="E33" s="2"/>
      <c r="I33" s="2"/>
    </row>
    <row r="34" spans="3:9" x14ac:dyDescent="0.35">
      <c r="D34" s="3"/>
      <c r="E34" s="2"/>
      <c r="I34" s="2"/>
    </row>
    <row r="35" spans="3:9" x14ac:dyDescent="0.35">
      <c r="E35" s="2"/>
      <c r="F35" s="2"/>
      <c r="G35" s="2"/>
      <c r="H35" s="2"/>
    </row>
    <row r="36" spans="3:9" x14ac:dyDescent="0.35">
      <c r="E36" s="2"/>
      <c r="F36" s="2"/>
      <c r="G36" s="2"/>
      <c r="H36" s="2"/>
    </row>
    <row r="38" spans="3:9" x14ac:dyDescent="0.35">
      <c r="E38" s="2">
        <f>SUM(E17:E37)</f>
        <v>0</v>
      </c>
    </row>
    <row r="42" spans="3:9" x14ac:dyDescent="0.35">
      <c r="C42" s="2"/>
    </row>
    <row r="44" spans="3:9" x14ac:dyDescent="0.35">
      <c r="E44" s="2"/>
    </row>
    <row r="45" spans="3:9" x14ac:dyDescent="0.35">
      <c r="E45" s="2"/>
    </row>
    <row r="46" spans="3:9" x14ac:dyDescent="0.35">
      <c r="E46" s="2"/>
    </row>
    <row r="47" spans="3:9" x14ac:dyDescent="0.35">
      <c r="E47" s="2"/>
    </row>
    <row r="48" spans="3:9" x14ac:dyDescent="0.35">
      <c r="E48" s="2"/>
    </row>
    <row r="49" spans="4:5" x14ac:dyDescent="0.35">
      <c r="E49" s="2"/>
    </row>
    <row r="50" spans="4:5" x14ac:dyDescent="0.35">
      <c r="D50" s="3"/>
      <c r="E50" s="2"/>
    </row>
    <row r="51" spans="4:5" x14ac:dyDescent="0.35">
      <c r="E51" s="2"/>
    </row>
    <row r="52" spans="4:5" x14ac:dyDescent="0.35">
      <c r="E52" s="2"/>
    </row>
    <row r="53" spans="4:5" x14ac:dyDescent="0.35">
      <c r="E53" s="2"/>
    </row>
    <row r="55" spans="4:5" x14ac:dyDescent="0.35">
      <c r="D55" s="3"/>
      <c r="E55" s="2"/>
    </row>
    <row r="56" spans="4:5" x14ac:dyDescent="0.35">
      <c r="D56" s="3"/>
      <c r="E56" s="2"/>
    </row>
    <row r="57" spans="4:5" x14ac:dyDescent="0.35">
      <c r="D57" s="3"/>
      <c r="E57" s="2"/>
    </row>
    <row r="58" spans="4:5" x14ac:dyDescent="0.35">
      <c r="D58" s="3"/>
      <c r="E58" s="2"/>
    </row>
    <row r="59" spans="4:5" x14ac:dyDescent="0.35">
      <c r="D59" s="3"/>
      <c r="E59" s="2"/>
    </row>
    <row r="60" spans="4:5" x14ac:dyDescent="0.35">
      <c r="D60" s="3"/>
      <c r="E60" s="2"/>
    </row>
    <row r="61" spans="4:5" x14ac:dyDescent="0.35">
      <c r="E61" s="2"/>
    </row>
  </sheetData>
  <mergeCells count="10"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29E6D-9768-4B87-83F5-2F637B1EC296}">
  <dimension ref="A1:V68"/>
  <sheetViews>
    <sheetView workbookViewId="0">
      <selection activeCell="B9" sqref="B9:D9"/>
    </sheetView>
  </sheetViews>
  <sheetFormatPr defaultColWidth="9.08984375" defaultRowHeight="14.5" x14ac:dyDescent="0.35"/>
  <cols>
    <col min="1" max="1" width="11.6328125" style="1" bestFit="1" customWidth="1"/>
    <col min="2" max="2" width="33" style="1" bestFit="1" customWidth="1"/>
    <col min="3" max="3" width="18.453125" style="1" bestFit="1" customWidth="1"/>
    <col min="4" max="4" width="27.08984375" style="1" bestFit="1" customWidth="1"/>
    <col min="5" max="9" width="9.08984375" style="1"/>
    <col min="10" max="10" width="9.6328125" style="1" bestFit="1" customWidth="1"/>
    <col min="11" max="16384" width="9.08984375" style="1"/>
  </cols>
  <sheetData>
    <row r="1" spans="1:22" ht="15" thickBot="1" x14ac:dyDescent="0.4">
      <c r="A1" s="8"/>
      <c r="B1" s="12"/>
      <c r="C1" s="19"/>
      <c r="D1" s="12"/>
      <c r="E1" s="127" t="s">
        <v>10</v>
      </c>
      <c r="F1" s="128"/>
      <c r="G1" s="129" t="s">
        <v>12</v>
      </c>
      <c r="H1" s="130"/>
      <c r="I1" s="131" t="s">
        <v>4</v>
      </c>
      <c r="J1" s="132"/>
      <c r="K1" s="133" t="s">
        <v>11</v>
      </c>
      <c r="L1" s="134"/>
      <c r="M1" s="123" t="s">
        <v>5</v>
      </c>
      <c r="N1" s="124"/>
      <c r="O1" s="125" t="s">
        <v>6</v>
      </c>
      <c r="P1" s="126"/>
      <c r="Q1" s="123" t="s">
        <v>13</v>
      </c>
      <c r="R1" s="124"/>
      <c r="S1" s="125" t="s">
        <v>15</v>
      </c>
      <c r="T1" s="126"/>
      <c r="U1" s="123" t="s">
        <v>16</v>
      </c>
      <c r="V1" s="124"/>
    </row>
    <row r="2" spans="1:22" ht="15" thickBot="1" x14ac:dyDescent="0.4">
      <c r="A2" s="9" t="s">
        <v>0</v>
      </c>
      <c r="B2" s="13" t="s">
        <v>1</v>
      </c>
      <c r="C2" s="20"/>
      <c r="D2" s="13"/>
      <c r="E2" s="21" t="s">
        <v>2</v>
      </c>
      <c r="F2" s="73" t="s">
        <v>3</v>
      </c>
      <c r="G2" s="78" t="s">
        <v>2</v>
      </c>
      <c r="H2" s="79" t="s">
        <v>3</v>
      </c>
      <c r="I2" s="64" t="s">
        <v>2</v>
      </c>
      <c r="J2" s="65" t="s">
        <v>3</v>
      </c>
      <c r="K2" s="60" t="s">
        <v>2</v>
      </c>
      <c r="L2" s="56" t="s">
        <v>3</v>
      </c>
      <c r="M2" s="43" t="s">
        <v>2</v>
      </c>
      <c r="N2" s="33" t="s">
        <v>3</v>
      </c>
      <c r="O2" s="49" t="s">
        <v>2</v>
      </c>
      <c r="P2" s="38" t="s">
        <v>3</v>
      </c>
      <c r="Q2" s="43" t="s">
        <v>2</v>
      </c>
      <c r="R2" s="33" t="s">
        <v>3</v>
      </c>
      <c r="S2" s="49" t="s">
        <v>2</v>
      </c>
      <c r="T2" s="38" t="s">
        <v>3</v>
      </c>
      <c r="U2" s="43" t="s">
        <v>2</v>
      </c>
      <c r="V2" s="33" t="s">
        <v>3</v>
      </c>
    </row>
    <row r="3" spans="1:22" x14ac:dyDescent="0.35">
      <c r="A3" s="15" t="s">
        <v>75</v>
      </c>
      <c r="B3" s="31"/>
      <c r="C3" s="86"/>
      <c r="D3" s="24" t="s">
        <v>14</v>
      </c>
      <c r="E3" s="22">
        <f>113.2+34.69</f>
        <v>147.88999999999999</v>
      </c>
      <c r="F3" s="74"/>
      <c r="G3" s="80">
        <v>11.4</v>
      </c>
      <c r="H3" s="81"/>
      <c r="I3" s="66">
        <v>1.17</v>
      </c>
      <c r="J3" s="67"/>
      <c r="K3" s="61">
        <v>48.91</v>
      </c>
      <c r="L3" s="57"/>
      <c r="M3" s="44">
        <v>5.47</v>
      </c>
      <c r="N3" s="34"/>
      <c r="O3" s="50">
        <v>29.22</v>
      </c>
      <c r="P3" s="48"/>
      <c r="Q3" s="44">
        <v>20.56</v>
      </c>
      <c r="R3" s="34"/>
      <c r="S3" s="50">
        <v>3.25</v>
      </c>
      <c r="T3" s="39"/>
      <c r="U3" s="44">
        <f>2.84+0.24</f>
        <v>3.08</v>
      </c>
      <c r="V3" s="34"/>
    </row>
    <row r="4" spans="1:22" x14ac:dyDescent="0.35">
      <c r="A4" s="25" t="s">
        <v>76</v>
      </c>
      <c r="B4" s="30" t="s">
        <v>24</v>
      </c>
      <c r="C4" s="88" t="s">
        <v>77</v>
      </c>
      <c r="D4" s="28" t="s">
        <v>9</v>
      </c>
      <c r="E4" s="29">
        <v>8.84</v>
      </c>
      <c r="F4" s="75"/>
      <c r="G4" s="82"/>
      <c r="H4" s="83"/>
      <c r="I4" s="92"/>
      <c r="J4" s="69"/>
      <c r="K4" s="62"/>
      <c r="L4" s="58"/>
      <c r="M4" s="45"/>
      <c r="N4" s="36"/>
      <c r="O4" s="51"/>
      <c r="P4" s="40"/>
      <c r="Q4" s="54"/>
      <c r="R4" s="35"/>
      <c r="S4" s="51"/>
      <c r="T4" s="40"/>
      <c r="U4" s="45"/>
      <c r="V4" s="35"/>
    </row>
    <row r="5" spans="1:22" x14ac:dyDescent="0.35">
      <c r="A5" s="25" t="s">
        <v>80</v>
      </c>
      <c r="B5" s="32" t="s">
        <v>21</v>
      </c>
      <c r="C5" s="87" t="s">
        <v>78</v>
      </c>
      <c r="D5" s="89" t="s">
        <v>79</v>
      </c>
      <c r="E5" s="29"/>
      <c r="F5" s="75">
        <v>2.02</v>
      </c>
      <c r="G5" s="82"/>
      <c r="H5" s="83"/>
      <c r="I5" s="92"/>
      <c r="J5" s="69"/>
      <c r="K5" s="62"/>
      <c r="L5" s="58"/>
      <c r="M5" s="45"/>
      <c r="N5" s="36"/>
      <c r="O5" s="51"/>
      <c r="P5" s="40"/>
      <c r="Q5" s="54"/>
      <c r="R5" s="35"/>
      <c r="S5" s="51"/>
      <c r="T5" s="40"/>
      <c r="U5" s="45"/>
      <c r="V5" s="35"/>
    </row>
    <row r="6" spans="1:22" ht="15" customHeight="1" x14ac:dyDescent="0.35">
      <c r="A6" s="25" t="s">
        <v>81</v>
      </c>
      <c r="B6" s="32" t="s">
        <v>37</v>
      </c>
      <c r="C6" s="87" t="s">
        <v>82</v>
      </c>
      <c r="D6" s="89" t="s">
        <v>74</v>
      </c>
      <c r="E6" s="29"/>
      <c r="F6" s="75">
        <f>2.98</f>
        <v>2.98</v>
      </c>
      <c r="G6" s="82"/>
      <c r="H6" s="83"/>
      <c r="I6" s="92"/>
      <c r="J6" s="69"/>
      <c r="K6" s="62"/>
      <c r="L6" s="117"/>
      <c r="M6" s="45"/>
      <c r="N6" s="36"/>
      <c r="O6" s="51"/>
      <c r="P6" s="40"/>
      <c r="Q6" s="54"/>
      <c r="R6" s="35"/>
      <c r="S6" s="51"/>
      <c r="T6" s="40"/>
      <c r="U6" s="45"/>
      <c r="V6" s="35"/>
    </row>
    <row r="7" spans="1:22" ht="15" customHeight="1" x14ac:dyDescent="0.35">
      <c r="A7" s="25" t="s">
        <v>81</v>
      </c>
      <c r="B7" s="32" t="s">
        <v>30</v>
      </c>
      <c r="C7" s="87" t="s">
        <v>84</v>
      </c>
      <c r="D7" s="89" t="s">
        <v>83</v>
      </c>
      <c r="E7" s="29"/>
      <c r="F7" s="75">
        <v>4.96</v>
      </c>
      <c r="G7" s="82"/>
      <c r="H7" s="83"/>
      <c r="I7" s="92"/>
      <c r="J7" s="69"/>
      <c r="K7" s="62"/>
      <c r="L7" s="117"/>
      <c r="M7" s="45"/>
      <c r="N7" s="36"/>
      <c r="O7" s="51"/>
      <c r="P7" s="40"/>
      <c r="Q7" s="54"/>
      <c r="R7" s="35"/>
      <c r="S7" s="51"/>
      <c r="T7" s="40"/>
      <c r="U7" s="45"/>
      <c r="V7" s="35"/>
    </row>
    <row r="8" spans="1:22" ht="15" customHeight="1" x14ac:dyDescent="0.35">
      <c r="A8" s="25" t="s">
        <v>81</v>
      </c>
      <c r="B8" s="32" t="s">
        <v>92</v>
      </c>
      <c r="C8" s="87" t="s">
        <v>93</v>
      </c>
      <c r="D8" s="28" t="s">
        <v>9</v>
      </c>
      <c r="E8" s="29"/>
      <c r="F8" s="75"/>
      <c r="G8" s="82"/>
      <c r="H8" s="83"/>
      <c r="I8" s="92"/>
      <c r="J8" s="69"/>
      <c r="K8" s="62"/>
      <c r="L8" s="117"/>
      <c r="M8" s="45"/>
      <c r="N8" s="36"/>
      <c r="O8" s="51"/>
      <c r="P8" s="40"/>
      <c r="Q8" s="54"/>
      <c r="R8" s="35"/>
      <c r="S8" s="51"/>
      <c r="T8" s="40"/>
      <c r="U8" s="45">
        <v>0.9</v>
      </c>
      <c r="V8" s="35"/>
    </row>
    <row r="9" spans="1:22" ht="15" customHeight="1" x14ac:dyDescent="0.35">
      <c r="A9" s="25" t="s">
        <v>90</v>
      </c>
      <c r="B9" s="32" t="s">
        <v>37</v>
      </c>
      <c r="C9" s="87" t="s">
        <v>91</v>
      </c>
      <c r="D9" s="89" t="s">
        <v>74</v>
      </c>
      <c r="E9" s="29"/>
      <c r="F9" s="75">
        <f>9.22</f>
        <v>9.2200000000000006</v>
      </c>
      <c r="G9" s="82"/>
      <c r="H9" s="83"/>
      <c r="I9" s="92"/>
      <c r="J9" s="69"/>
      <c r="K9" s="62"/>
      <c r="L9" s="117"/>
      <c r="M9" s="45"/>
      <c r="N9" s="36"/>
      <c r="O9" s="51"/>
      <c r="P9" s="40"/>
      <c r="Q9" s="54"/>
      <c r="R9" s="35"/>
      <c r="S9" s="51"/>
      <c r="T9" s="40"/>
      <c r="U9" s="45"/>
      <c r="V9" s="35"/>
    </row>
    <row r="10" spans="1:22" x14ac:dyDescent="0.35">
      <c r="A10" s="25" t="s">
        <v>86</v>
      </c>
      <c r="B10" s="30" t="s">
        <v>87</v>
      </c>
      <c r="C10" s="88" t="s">
        <v>88</v>
      </c>
      <c r="D10" s="28" t="s">
        <v>9</v>
      </c>
      <c r="E10" s="29">
        <v>32.4</v>
      </c>
      <c r="F10" s="75"/>
      <c r="G10" s="82"/>
      <c r="H10" s="83"/>
      <c r="I10" s="92"/>
      <c r="J10" s="69"/>
      <c r="K10" s="62"/>
      <c r="L10" s="58"/>
      <c r="M10" s="45"/>
      <c r="N10" s="36"/>
      <c r="O10" s="51"/>
      <c r="P10" s="40"/>
      <c r="Q10" s="45">
        <v>0.18</v>
      </c>
      <c r="R10" s="35"/>
      <c r="S10" s="51"/>
      <c r="T10" s="40"/>
      <c r="U10" s="45"/>
      <c r="V10" s="35"/>
    </row>
    <row r="11" spans="1:22" x14ac:dyDescent="0.35">
      <c r="A11" s="25" t="s">
        <v>86</v>
      </c>
      <c r="B11" s="30" t="s">
        <v>28</v>
      </c>
      <c r="C11" s="121" t="s">
        <v>89</v>
      </c>
      <c r="D11" s="28" t="s">
        <v>9</v>
      </c>
      <c r="E11" s="29">
        <v>43.26</v>
      </c>
      <c r="F11" s="75"/>
      <c r="G11" s="82"/>
      <c r="H11" s="83"/>
      <c r="I11" s="92"/>
      <c r="J11" s="69"/>
      <c r="K11" s="62"/>
      <c r="L11" s="58"/>
      <c r="M11" s="45"/>
      <c r="N11" s="36"/>
      <c r="O11" s="51"/>
      <c r="P11" s="40"/>
      <c r="Q11" s="45"/>
      <c r="R11" s="35"/>
      <c r="S11" s="51"/>
      <c r="T11" s="40"/>
      <c r="U11" s="45"/>
      <c r="V11" s="35"/>
    </row>
    <row r="12" spans="1:22" ht="15" customHeight="1" x14ac:dyDescent="0.35">
      <c r="A12" s="25" t="s">
        <v>86</v>
      </c>
      <c r="B12" s="32" t="s">
        <v>30</v>
      </c>
      <c r="C12" s="87" t="s">
        <v>95</v>
      </c>
      <c r="D12" s="89" t="s">
        <v>94</v>
      </c>
      <c r="E12" s="29"/>
      <c r="F12" s="75">
        <f>12.31+12.7+0.9+2.29+12.93</f>
        <v>41.129999999999995</v>
      </c>
      <c r="G12" s="82"/>
      <c r="H12" s="83"/>
      <c r="I12" s="92"/>
      <c r="J12" s="69"/>
      <c r="K12" s="62"/>
      <c r="L12" s="117"/>
      <c r="M12" s="45"/>
      <c r="N12" s="36"/>
      <c r="O12" s="51"/>
      <c r="P12" s="40"/>
      <c r="Q12" s="54"/>
      <c r="R12" s="35"/>
      <c r="S12" s="51"/>
      <c r="T12" s="40"/>
      <c r="U12" s="45"/>
      <c r="V12" s="35"/>
    </row>
    <row r="13" spans="1:22" ht="15" customHeight="1" x14ac:dyDescent="0.35">
      <c r="A13" s="25" t="s">
        <v>98</v>
      </c>
      <c r="B13" s="32" t="s">
        <v>23</v>
      </c>
      <c r="C13" s="87" t="s">
        <v>99</v>
      </c>
      <c r="D13" s="89" t="s">
        <v>85</v>
      </c>
      <c r="E13" s="29"/>
      <c r="F13" s="75"/>
      <c r="G13" s="82"/>
      <c r="H13" s="83">
        <v>2.19</v>
      </c>
      <c r="I13" s="92"/>
      <c r="J13" s="69"/>
      <c r="K13" s="62"/>
      <c r="L13" s="117">
        <v>0.72</v>
      </c>
      <c r="M13" s="45"/>
      <c r="N13" s="36"/>
      <c r="O13" s="51"/>
      <c r="P13" s="40"/>
      <c r="Q13" s="54"/>
      <c r="R13" s="35">
        <v>0.98</v>
      </c>
      <c r="S13" s="51"/>
      <c r="T13" s="40"/>
      <c r="U13" s="45"/>
      <c r="V13" s="35"/>
    </row>
    <row r="14" spans="1:22" x14ac:dyDescent="0.35">
      <c r="A14" s="25" t="s">
        <v>96</v>
      </c>
      <c r="B14" s="30" t="s">
        <v>17</v>
      </c>
      <c r="C14" s="88" t="s">
        <v>97</v>
      </c>
      <c r="D14" s="28" t="s">
        <v>9</v>
      </c>
      <c r="E14" s="29">
        <v>2.7</v>
      </c>
      <c r="F14" s="75"/>
      <c r="G14" s="82"/>
      <c r="H14" s="83"/>
      <c r="I14" s="92"/>
      <c r="J14" s="69"/>
      <c r="K14" s="62"/>
      <c r="L14" s="58"/>
      <c r="M14" s="45"/>
      <c r="N14" s="36"/>
      <c r="O14" s="51"/>
      <c r="P14" s="40"/>
      <c r="Q14" s="54"/>
      <c r="R14" s="35"/>
      <c r="S14" s="51"/>
      <c r="T14" s="40"/>
      <c r="U14" s="45"/>
      <c r="V14" s="35"/>
    </row>
    <row r="15" spans="1:22" ht="15" customHeight="1" x14ac:dyDescent="0.35">
      <c r="A15" s="25"/>
      <c r="B15" s="32"/>
      <c r="C15" s="91"/>
      <c r="D15" s="89"/>
      <c r="E15" s="29"/>
      <c r="F15" s="75"/>
      <c r="G15" s="82"/>
      <c r="H15" s="83"/>
      <c r="I15" s="92"/>
      <c r="J15" s="69"/>
      <c r="K15" s="62"/>
      <c r="L15" s="117"/>
      <c r="M15" s="45"/>
      <c r="N15" s="36"/>
      <c r="O15" s="51"/>
      <c r="P15" s="40"/>
      <c r="Q15" s="54"/>
      <c r="R15" s="35"/>
      <c r="S15" s="51"/>
      <c r="T15" s="40"/>
      <c r="U15" s="45"/>
      <c r="V15" s="35"/>
    </row>
    <row r="16" spans="1:22" x14ac:dyDescent="0.35">
      <c r="A16" s="25"/>
      <c r="B16" s="32"/>
      <c r="C16" s="32"/>
      <c r="D16" s="26"/>
      <c r="E16" s="27"/>
      <c r="F16" s="76"/>
      <c r="G16" s="82"/>
      <c r="H16" s="83"/>
      <c r="I16" s="68"/>
      <c r="J16" s="69"/>
      <c r="K16" s="62"/>
      <c r="L16" s="58"/>
      <c r="M16" s="45"/>
      <c r="N16" s="36"/>
      <c r="O16" s="52"/>
      <c r="P16" s="8"/>
      <c r="Q16" s="55"/>
      <c r="R16" s="36"/>
      <c r="S16" s="52"/>
      <c r="T16" s="8"/>
      <c r="U16" s="45"/>
      <c r="V16" s="36"/>
    </row>
    <row r="17" spans="1:22" ht="15" thickBot="1" x14ac:dyDescent="0.4">
      <c r="A17" s="16"/>
      <c r="B17" s="16"/>
      <c r="C17" s="16"/>
      <c r="D17" s="17"/>
      <c r="E17" s="23">
        <f>SUM(E3:E16)</f>
        <v>235.08999999999997</v>
      </c>
      <c r="F17" s="77">
        <f>SUM(F3:F16)</f>
        <v>60.309999999999995</v>
      </c>
      <c r="G17" s="84">
        <f t="shared" ref="G17:U17" si="0">SUM(G3:G16)</f>
        <v>11.4</v>
      </c>
      <c r="H17" s="85">
        <f t="shared" si="0"/>
        <v>2.19</v>
      </c>
      <c r="I17" s="70">
        <f t="shared" si="0"/>
        <v>1.17</v>
      </c>
      <c r="J17" s="71">
        <f t="shared" si="0"/>
        <v>0</v>
      </c>
      <c r="K17" s="63">
        <f t="shared" si="0"/>
        <v>48.91</v>
      </c>
      <c r="L17" s="59">
        <f t="shared" si="0"/>
        <v>0.72</v>
      </c>
      <c r="M17" s="46">
        <f t="shared" si="0"/>
        <v>5.47</v>
      </c>
      <c r="N17" s="37">
        <f t="shared" si="0"/>
        <v>0</v>
      </c>
      <c r="O17" s="53">
        <f t="shared" si="0"/>
        <v>29.22</v>
      </c>
      <c r="P17" s="41">
        <f t="shared" si="0"/>
        <v>0</v>
      </c>
      <c r="Q17" s="46">
        <f t="shared" si="0"/>
        <v>20.74</v>
      </c>
      <c r="R17" s="37">
        <f t="shared" si="0"/>
        <v>0.98</v>
      </c>
      <c r="S17" s="53">
        <f t="shared" si="0"/>
        <v>3.25</v>
      </c>
      <c r="T17" s="41">
        <f t="shared" si="0"/>
        <v>0</v>
      </c>
      <c r="U17" s="46">
        <f t="shared" si="0"/>
        <v>3.98</v>
      </c>
      <c r="V17" s="37">
        <f>SUM(V4:V16)</f>
        <v>0</v>
      </c>
    </row>
    <row r="18" spans="1:22" ht="15" thickBot="1" x14ac:dyDescent="0.4">
      <c r="A18" s="10"/>
      <c r="B18" s="10" t="s">
        <v>7</v>
      </c>
      <c r="C18" s="10"/>
      <c r="D18" s="14"/>
      <c r="E18" s="11"/>
      <c r="F18" s="42">
        <f>E17-F17</f>
        <v>174.77999999999997</v>
      </c>
      <c r="G18" s="6"/>
      <c r="H18" s="7">
        <f>G17-H17</f>
        <v>9.2100000000000009</v>
      </c>
      <c r="I18" s="6"/>
      <c r="J18" s="7">
        <f>I17-J17</f>
        <v>1.17</v>
      </c>
      <c r="K18" s="11"/>
      <c r="L18" s="42">
        <f>K17-L17</f>
        <v>48.19</v>
      </c>
      <c r="M18" s="6"/>
      <c r="N18" s="7">
        <f>M17-N17</f>
        <v>5.47</v>
      </c>
      <c r="O18" s="11"/>
      <c r="P18" s="42">
        <f>O17-P17</f>
        <v>29.22</v>
      </c>
      <c r="Q18" s="6"/>
      <c r="R18" s="7">
        <f>Q17-R17</f>
        <v>19.759999999999998</v>
      </c>
      <c r="S18" s="11"/>
      <c r="T18" s="42">
        <f>S17-T17</f>
        <v>3.25</v>
      </c>
      <c r="U18" s="6"/>
      <c r="V18" s="7">
        <f>U17-V17</f>
        <v>3.98</v>
      </c>
    </row>
    <row r="19" spans="1:22" ht="15" thickBot="1" x14ac:dyDescent="0.4">
      <c r="A19" s="93"/>
      <c r="B19" s="93"/>
      <c r="C19" s="93"/>
      <c r="D19" s="12"/>
      <c r="E19" s="94"/>
      <c r="F19" s="95"/>
      <c r="G19" s="96"/>
      <c r="H19" s="97"/>
      <c r="I19" s="72"/>
      <c r="J19" s="98"/>
      <c r="K19" s="99"/>
      <c r="L19" s="100"/>
      <c r="M19" s="101"/>
      <c r="N19" s="102"/>
      <c r="O19" s="18"/>
      <c r="P19" s="103"/>
      <c r="Q19" s="47"/>
      <c r="R19" s="102"/>
      <c r="S19" s="18"/>
      <c r="T19" s="103"/>
      <c r="U19" s="47"/>
      <c r="V19" s="102"/>
    </row>
    <row r="20" spans="1:22" ht="15" thickBot="1" x14ac:dyDescent="0.4">
      <c r="A20" s="104"/>
      <c r="B20" s="90" t="s">
        <v>8</v>
      </c>
      <c r="C20" s="90"/>
      <c r="D20" s="105"/>
      <c r="E20" s="106"/>
      <c r="F20" s="107">
        <f>F18-F19</f>
        <v>174.77999999999997</v>
      </c>
      <c r="G20" s="108"/>
      <c r="H20" s="109">
        <f>H18-H19</f>
        <v>9.2100000000000009</v>
      </c>
      <c r="I20" s="110"/>
      <c r="J20" s="111">
        <f>J18-J19</f>
        <v>1.17</v>
      </c>
      <c r="K20" s="112"/>
      <c r="L20" s="113">
        <f>L18-L19</f>
        <v>48.19</v>
      </c>
      <c r="M20" s="114"/>
      <c r="N20" s="115">
        <f>N18-N19</f>
        <v>5.47</v>
      </c>
      <c r="O20" s="116"/>
      <c r="P20" s="113">
        <f>P18-P19</f>
        <v>29.22</v>
      </c>
      <c r="Q20" s="114"/>
      <c r="R20" s="115">
        <f>R18-R19</f>
        <v>19.759999999999998</v>
      </c>
      <c r="S20" s="116"/>
      <c r="T20" s="113">
        <f>T18-T19</f>
        <v>3.25</v>
      </c>
      <c r="U20" s="114"/>
      <c r="V20" s="115">
        <f>V18-V19</f>
        <v>3.98</v>
      </c>
    </row>
    <row r="21" spans="1:22" x14ac:dyDescent="0.35">
      <c r="F21" s="2"/>
    </row>
    <row r="22" spans="1:22" x14ac:dyDescent="0.35">
      <c r="E22" s="2"/>
      <c r="F22" s="2"/>
    </row>
    <row r="23" spans="1:22" x14ac:dyDescent="0.35">
      <c r="B23" s="2"/>
    </row>
    <row r="24" spans="1:22" x14ac:dyDescent="0.35">
      <c r="E24" s="2"/>
      <c r="H24" s="2"/>
      <c r="I24" s="2"/>
      <c r="K24" s="2"/>
    </row>
    <row r="25" spans="1:22" x14ac:dyDescent="0.35">
      <c r="E25" s="2"/>
      <c r="F25" s="4"/>
      <c r="H25" s="2"/>
      <c r="I25" s="2"/>
    </row>
    <row r="26" spans="1:22" x14ac:dyDescent="0.35">
      <c r="E26" s="2"/>
      <c r="F26" s="2"/>
      <c r="G26" s="3"/>
      <c r="H26" s="2"/>
      <c r="I26" s="2"/>
    </row>
    <row r="27" spans="1:22" x14ac:dyDescent="0.35">
      <c r="E27" s="2"/>
      <c r="F27" s="2"/>
      <c r="G27" s="3"/>
      <c r="H27" s="2"/>
    </row>
    <row r="28" spans="1:22" x14ac:dyDescent="0.35">
      <c r="E28" s="2"/>
      <c r="F28" s="5"/>
    </row>
    <row r="29" spans="1:22" x14ac:dyDescent="0.35">
      <c r="E29" s="2"/>
      <c r="F29" s="5"/>
    </row>
    <row r="30" spans="1:22" x14ac:dyDescent="0.35">
      <c r="D30" s="3"/>
      <c r="E30" s="2"/>
      <c r="F30" s="5"/>
    </row>
    <row r="31" spans="1:22" x14ac:dyDescent="0.35">
      <c r="E31" s="2"/>
      <c r="F31" s="5"/>
    </row>
    <row r="32" spans="1:22" x14ac:dyDescent="0.35">
      <c r="E32" s="2"/>
      <c r="F32" s="2"/>
      <c r="O32" s="2"/>
    </row>
    <row r="33" spans="4:9" x14ac:dyDescent="0.35">
      <c r="E33" s="2"/>
      <c r="I33" s="4"/>
    </row>
    <row r="34" spans="4:9" x14ac:dyDescent="0.35">
      <c r="F34" s="2"/>
    </row>
    <row r="35" spans="4:9" x14ac:dyDescent="0.35">
      <c r="D35" s="3"/>
      <c r="E35" s="2"/>
    </row>
    <row r="36" spans="4:9" x14ac:dyDescent="0.35">
      <c r="D36" s="3"/>
      <c r="E36" s="2"/>
    </row>
    <row r="37" spans="4:9" x14ac:dyDescent="0.35">
      <c r="D37" s="3"/>
      <c r="E37" s="2"/>
    </row>
    <row r="38" spans="4:9" x14ac:dyDescent="0.35">
      <c r="D38" s="3"/>
      <c r="E38" s="2"/>
    </row>
    <row r="39" spans="4:9" x14ac:dyDescent="0.35">
      <c r="D39" s="3"/>
      <c r="E39" s="2"/>
    </row>
    <row r="40" spans="4:9" x14ac:dyDescent="0.35">
      <c r="D40" s="3"/>
      <c r="E40" s="2"/>
      <c r="G40" s="2"/>
    </row>
    <row r="41" spans="4:9" x14ac:dyDescent="0.35">
      <c r="D41" s="3"/>
      <c r="E41" s="2"/>
      <c r="G41" s="2"/>
    </row>
    <row r="42" spans="4:9" x14ac:dyDescent="0.35">
      <c r="E42" s="2"/>
      <c r="F42" s="2"/>
    </row>
    <row r="43" spans="4:9" x14ac:dyDescent="0.35">
      <c r="E43" s="2"/>
      <c r="F43" s="2"/>
    </row>
    <row r="45" spans="4:9" x14ac:dyDescent="0.35">
      <c r="E45" s="2"/>
    </row>
    <row r="49" spans="3:5" x14ac:dyDescent="0.35">
      <c r="C49" s="2"/>
    </row>
    <row r="51" spans="3:5" x14ac:dyDescent="0.35">
      <c r="E51" s="2"/>
    </row>
    <row r="52" spans="3:5" x14ac:dyDescent="0.35">
      <c r="E52" s="2"/>
    </row>
    <row r="53" spans="3:5" x14ac:dyDescent="0.35">
      <c r="E53" s="2"/>
    </row>
    <row r="54" spans="3:5" x14ac:dyDescent="0.35">
      <c r="E54" s="2"/>
    </row>
    <row r="55" spans="3:5" x14ac:dyDescent="0.35">
      <c r="E55" s="2"/>
    </row>
    <row r="56" spans="3:5" x14ac:dyDescent="0.35">
      <c r="E56" s="2"/>
    </row>
    <row r="57" spans="3:5" x14ac:dyDescent="0.35">
      <c r="D57" s="3"/>
      <c r="E57" s="2"/>
    </row>
    <row r="58" spans="3:5" x14ac:dyDescent="0.35">
      <c r="E58" s="2"/>
    </row>
    <row r="59" spans="3:5" x14ac:dyDescent="0.35">
      <c r="E59" s="2"/>
    </row>
    <row r="60" spans="3:5" x14ac:dyDescent="0.35">
      <c r="E60" s="2"/>
    </row>
    <row r="62" spans="3:5" x14ac:dyDescent="0.35">
      <c r="D62" s="3"/>
      <c r="E62" s="2"/>
    </row>
    <row r="63" spans="3:5" x14ac:dyDescent="0.35">
      <c r="D63" s="3"/>
      <c r="E63" s="2"/>
    </row>
    <row r="64" spans="3:5" x14ac:dyDescent="0.35">
      <c r="D64" s="3"/>
      <c r="E64" s="2"/>
    </row>
    <row r="65" spans="4:5" x14ac:dyDescent="0.35">
      <c r="D65" s="3"/>
      <c r="E65" s="2"/>
    </row>
    <row r="66" spans="4:5" x14ac:dyDescent="0.35">
      <c r="D66" s="3"/>
      <c r="E66" s="2"/>
    </row>
    <row r="67" spans="4:5" x14ac:dyDescent="0.35">
      <c r="D67" s="3"/>
      <c r="E67" s="2"/>
    </row>
    <row r="68" spans="4:5" x14ac:dyDescent="0.35">
      <c r="E68" s="2"/>
    </row>
  </sheetData>
  <mergeCells count="9">
    <mergeCell ref="O1:P1"/>
    <mergeCell ref="Q1:R1"/>
    <mergeCell ref="S1:T1"/>
    <mergeCell ref="U1:V1"/>
    <mergeCell ref="E1:F1"/>
    <mergeCell ref="G1:H1"/>
    <mergeCell ref="I1:J1"/>
    <mergeCell ref="K1:L1"/>
    <mergeCell ref="M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BE12BD-53E7-4B4E-833A-A434F52778B1}">
  <dimension ref="A1:V67"/>
  <sheetViews>
    <sheetView workbookViewId="0">
      <selection activeCell="A10" sqref="A10"/>
    </sheetView>
  </sheetViews>
  <sheetFormatPr defaultColWidth="9.08984375" defaultRowHeight="14.5" x14ac:dyDescent="0.35"/>
  <cols>
    <col min="1" max="1" width="11.6328125" style="1" bestFit="1" customWidth="1"/>
    <col min="2" max="2" width="33" style="1" bestFit="1" customWidth="1"/>
    <col min="3" max="3" width="18.453125" style="1" bestFit="1" customWidth="1"/>
    <col min="4" max="4" width="27.08984375" style="1" bestFit="1" customWidth="1"/>
    <col min="5" max="9" width="9.08984375" style="1"/>
    <col min="10" max="10" width="9.6328125" style="1" bestFit="1" customWidth="1"/>
    <col min="11" max="16384" width="9.08984375" style="1"/>
  </cols>
  <sheetData>
    <row r="1" spans="1:22" ht="15" thickBot="1" x14ac:dyDescent="0.4">
      <c r="A1" s="8"/>
      <c r="B1" s="12"/>
      <c r="C1" s="19"/>
      <c r="D1" s="12"/>
      <c r="E1" s="127" t="s">
        <v>10</v>
      </c>
      <c r="F1" s="128"/>
      <c r="G1" s="129" t="s">
        <v>12</v>
      </c>
      <c r="H1" s="130"/>
      <c r="I1" s="131" t="s">
        <v>4</v>
      </c>
      <c r="J1" s="132"/>
      <c r="K1" s="133" t="s">
        <v>11</v>
      </c>
      <c r="L1" s="134"/>
      <c r="M1" s="123" t="s">
        <v>5</v>
      </c>
      <c r="N1" s="124"/>
      <c r="O1" s="125" t="s">
        <v>6</v>
      </c>
      <c r="P1" s="126"/>
      <c r="Q1" s="123" t="s">
        <v>13</v>
      </c>
      <c r="R1" s="124"/>
      <c r="S1" s="125" t="s">
        <v>15</v>
      </c>
      <c r="T1" s="126"/>
      <c r="U1" s="123" t="s">
        <v>16</v>
      </c>
      <c r="V1" s="124"/>
    </row>
    <row r="2" spans="1:22" ht="15" thickBot="1" x14ac:dyDescent="0.4">
      <c r="A2" s="9" t="s">
        <v>0</v>
      </c>
      <c r="B2" s="13" t="s">
        <v>1</v>
      </c>
      <c r="C2" s="20"/>
      <c r="D2" s="13"/>
      <c r="E2" s="21" t="s">
        <v>2</v>
      </c>
      <c r="F2" s="73" t="s">
        <v>3</v>
      </c>
      <c r="G2" s="78" t="s">
        <v>2</v>
      </c>
      <c r="H2" s="79" t="s">
        <v>3</v>
      </c>
      <c r="I2" s="64" t="s">
        <v>2</v>
      </c>
      <c r="J2" s="65" t="s">
        <v>3</v>
      </c>
      <c r="K2" s="60" t="s">
        <v>2</v>
      </c>
      <c r="L2" s="56" t="s">
        <v>3</v>
      </c>
      <c r="M2" s="43" t="s">
        <v>2</v>
      </c>
      <c r="N2" s="33" t="s">
        <v>3</v>
      </c>
      <c r="O2" s="49" t="s">
        <v>2</v>
      </c>
      <c r="P2" s="38" t="s">
        <v>3</v>
      </c>
      <c r="Q2" s="43" t="s">
        <v>2</v>
      </c>
      <c r="R2" s="33" t="s">
        <v>3</v>
      </c>
      <c r="S2" s="49" t="s">
        <v>2</v>
      </c>
      <c r="T2" s="38" t="s">
        <v>3</v>
      </c>
      <c r="U2" s="43" t="s">
        <v>2</v>
      </c>
      <c r="V2" s="33" t="s">
        <v>3</v>
      </c>
    </row>
    <row r="3" spans="1:22" x14ac:dyDescent="0.35">
      <c r="A3" s="15" t="s">
        <v>75</v>
      </c>
      <c r="B3" s="31"/>
      <c r="C3" s="86"/>
      <c r="D3" s="24" t="s">
        <v>14</v>
      </c>
      <c r="E3" s="22">
        <v>174.78</v>
      </c>
      <c r="F3" s="74"/>
      <c r="G3" s="80">
        <v>9.2100000000000009</v>
      </c>
      <c r="H3" s="81"/>
      <c r="I3" s="66">
        <v>1.17</v>
      </c>
      <c r="J3" s="67"/>
      <c r="K3" s="61">
        <v>48.19</v>
      </c>
      <c r="L3" s="57"/>
      <c r="M3" s="44">
        <v>5.47</v>
      </c>
      <c r="N3" s="34"/>
      <c r="O3" s="50">
        <v>29.22</v>
      </c>
      <c r="P3" s="48"/>
      <c r="Q3" s="44">
        <v>19.760000000000002</v>
      </c>
      <c r="R3" s="34"/>
      <c r="S3" s="50">
        <v>3.25</v>
      </c>
      <c r="T3" s="39"/>
      <c r="U3" s="44">
        <f>2.84+0.24+0.9</f>
        <v>3.98</v>
      </c>
      <c r="V3" s="34"/>
    </row>
    <row r="4" spans="1:22" x14ac:dyDescent="0.35">
      <c r="A4" s="25" t="s">
        <v>100</v>
      </c>
      <c r="B4" s="32" t="s">
        <v>30</v>
      </c>
      <c r="C4" s="87" t="s">
        <v>101</v>
      </c>
      <c r="D4" s="89" t="s">
        <v>102</v>
      </c>
      <c r="E4" s="29"/>
      <c r="F4" s="75">
        <v>2.2200000000000002</v>
      </c>
      <c r="G4" s="82"/>
      <c r="H4" s="83"/>
      <c r="I4" s="92"/>
      <c r="J4" s="69"/>
      <c r="K4" s="62"/>
      <c r="L4" s="58"/>
      <c r="M4" s="45"/>
      <c r="N4" s="36"/>
      <c r="O4" s="51"/>
      <c r="P4" s="40">
        <v>0.81</v>
      </c>
      <c r="Q4" s="54"/>
      <c r="R4" s="35"/>
      <c r="S4" s="51"/>
      <c r="T4" s="40"/>
      <c r="U4" s="45"/>
      <c r="V4" s="35"/>
    </row>
    <row r="5" spans="1:22" ht="15" customHeight="1" x14ac:dyDescent="0.35">
      <c r="A5" s="25" t="s">
        <v>100</v>
      </c>
      <c r="B5" s="32" t="s">
        <v>23</v>
      </c>
      <c r="C5" s="87" t="s">
        <v>105</v>
      </c>
      <c r="D5" s="89" t="s">
        <v>106</v>
      </c>
      <c r="E5" s="29"/>
      <c r="F5" s="75"/>
      <c r="G5" s="82"/>
      <c r="H5" s="83">
        <v>5.95</v>
      </c>
      <c r="I5" s="92"/>
      <c r="J5" s="69"/>
      <c r="K5" s="62"/>
      <c r="L5" s="117"/>
      <c r="M5" s="45"/>
      <c r="N5" s="36"/>
      <c r="O5" s="51"/>
      <c r="P5" s="40"/>
      <c r="Q5" s="54"/>
      <c r="R5" s="35">
        <v>4.0599999999999996</v>
      </c>
      <c r="S5" s="51"/>
      <c r="T5" s="40"/>
      <c r="U5" s="45"/>
      <c r="V5" s="35"/>
    </row>
    <row r="6" spans="1:22" ht="15" customHeight="1" x14ac:dyDescent="0.35">
      <c r="A6" s="25" t="s">
        <v>108</v>
      </c>
      <c r="B6" s="32" t="s">
        <v>19</v>
      </c>
      <c r="C6" s="87" t="s">
        <v>109</v>
      </c>
      <c r="D6" s="89" t="s">
        <v>110</v>
      </c>
      <c r="E6" s="29"/>
      <c r="F6" s="75">
        <v>1.91</v>
      </c>
      <c r="G6" s="82"/>
      <c r="H6" s="83"/>
      <c r="I6" s="92"/>
      <c r="J6" s="69"/>
      <c r="K6" s="62"/>
      <c r="L6" s="117"/>
      <c r="M6" s="45"/>
      <c r="N6" s="36"/>
      <c r="O6" s="51"/>
      <c r="P6" s="40"/>
      <c r="Q6" s="54"/>
      <c r="R6" s="35"/>
      <c r="S6" s="51"/>
      <c r="T6" s="40"/>
      <c r="U6" s="45"/>
      <c r="V6" s="35"/>
    </row>
    <row r="7" spans="1:22" ht="15" customHeight="1" x14ac:dyDescent="0.35">
      <c r="A7" s="25" t="s">
        <v>104</v>
      </c>
      <c r="B7" s="32" t="s">
        <v>21</v>
      </c>
      <c r="C7" s="87" t="s">
        <v>113</v>
      </c>
      <c r="D7" s="89" t="s">
        <v>73</v>
      </c>
      <c r="E7" s="29"/>
      <c r="F7" s="75">
        <v>3.41</v>
      </c>
      <c r="G7" s="82"/>
      <c r="H7" s="83"/>
      <c r="I7" s="92"/>
      <c r="J7" s="69"/>
      <c r="K7" s="62"/>
      <c r="L7" s="117"/>
      <c r="M7" s="45"/>
      <c r="N7" s="36"/>
      <c r="O7" s="51"/>
      <c r="P7" s="40"/>
      <c r="Q7" s="54"/>
      <c r="R7" s="35"/>
      <c r="S7" s="51"/>
      <c r="T7" s="40"/>
      <c r="U7" s="45"/>
      <c r="V7" s="35"/>
    </row>
    <row r="8" spans="1:22" x14ac:dyDescent="0.35">
      <c r="A8" s="25" t="s">
        <v>104</v>
      </c>
      <c r="B8" s="30" t="s">
        <v>24</v>
      </c>
      <c r="C8" s="88" t="s">
        <v>103</v>
      </c>
      <c r="D8" s="28" t="s">
        <v>9</v>
      </c>
      <c r="E8" s="29">
        <v>1.8</v>
      </c>
      <c r="F8" s="75"/>
      <c r="G8" s="82"/>
      <c r="H8" s="83"/>
      <c r="I8" s="92"/>
      <c r="J8" s="69"/>
      <c r="K8" s="62"/>
      <c r="L8" s="58"/>
      <c r="M8" s="45"/>
      <c r="N8" s="36"/>
      <c r="O8" s="51">
        <v>0.81</v>
      </c>
      <c r="P8" s="40"/>
      <c r="Q8" s="54"/>
      <c r="R8" s="35"/>
      <c r="S8" s="51"/>
      <c r="T8" s="40"/>
      <c r="U8" s="45"/>
      <c r="V8" s="35"/>
    </row>
    <row r="9" spans="1:22" x14ac:dyDescent="0.35">
      <c r="A9" s="25" t="s">
        <v>107</v>
      </c>
      <c r="B9" s="30" t="s">
        <v>24</v>
      </c>
      <c r="C9" s="88" t="s">
        <v>103</v>
      </c>
      <c r="D9" s="28" t="s">
        <v>9</v>
      </c>
      <c r="E9" s="29"/>
      <c r="F9" s="75"/>
      <c r="G9" s="82">
        <v>5.95</v>
      </c>
      <c r="H9" s="83"/>
      <c r="I9" s="92"/>
      <c r="J9" s="69"/>
      <c r="K9" s="62"/>
      <c r="L9" s="58"/>
      <c r="M9" s="45"/>
      <c r="N9" s="36"/>
      <c r="O9" s="51"/>
      <c r="P9" s="40"/>
      <c r="Q9" s="45">
        <v>4.0599999999999996</v>
      </c>
      <c r="R9" s="35"/>
      <c r="S9" s="51"/>
      <c r="T9" s="40"/>
      <c r="U9" s="45"/>
      <c r="V9" s="35"/>
    </row>
    <row r="10" spans="1:22" x14ac:dyDescent="0.35">
      <c r="A10" s="25" t="s">
        <v>107</v>
      </c>
      <c r="B10" s="32" t="s">
        <v>30</v>
      </c>
      <c r="C10" s="87" t="s">
        <v>114</v>
      </c>
      <c r="D10" s="89" t="s">
        <v>22</v>
      </c>
      <c r="E10" s="29"/>
      <c r="F10" s="75"/>
      <c r="G10" s="82"/>
      <c r="H10" s="83"/>
      <c r="I10" s="92"/>
      <c r="J10" s="69"/>
      <c r="K10" s="62"/>
      <c r="L10" s="58"/>
      <c r="M10" s="45"/>
      <c r="N10" s="36"/>
      <c r="O10" s="51"/>
      <c r="P10" s="40"/>
      <c r="Q10" s="54"/>
      <c r="R10" s="35"/>
      <c r="S10" s="51"/>
      <c r="T10" s="40"/>
      <c r="U10" s="45"/>
      <c r="V10" s="35">
        <v>0.9</v>
      </c>
    </row>
    <row r="11" spans="1:22" x14ac:dyDescent="0.35">
      <c r="A11" s="25" t="s">
        <v>111</v>
      </c>
      <c r="B11" s="30" t="s">
        <v>24</v>
      </c>
      <c r="C11" s="88" t="s">
        <v>112</v>
      </c>
      <c r="D11" s="28" t="s">
        <v>9</v>
      </c>
      <c r="E11" s="29">
        <v>3.41</v>
      </c>
      <c r="F11" s="75"/>
      <c r="G11" s="82"/>
      <c r="H11" s="83"/>
      <c r="I11" s="92"/>
      <c r="J11" s="69"/>
      <c r="K11" s="62"/>
      <c r="L11" s="58"/>
      <c r="M11" s="45"/>
      <c r="N11" s="36"/>
      <c r="O11" s="51"/>
      <c r="P11" s="40"/>
      <c r="Q11" s="54"/>
      <c r="R11" s="35"/>
      <c r="S11" s="51"/>
      <c r="T11" s="40"/>
      <c r="U11" s="45"/>
      <c r="V11" s="35"/>
    </row>
    <row r="12" spans="1:22" x14ac:dyDescent="0.35">
      <c r="A12" s="25" t="s">
        <v>116</v>
      </c>
      <c r="B12" s="32" t="s">
        <v>21</v>
      </c>
      <c r="C12" s="87" t="s">
        <v>115</v>
      </c>
      <c r="D12" s="89" t="s">
        <v>79</v>
      </c>
      <c r="E12" s="29"/>
      <c r="F12" s="75">
        <v>1.78</v>
      </c>
      <c r="G12" s="82"/>
      <c r="H12" s="83"/>
      <c r="I12" s="92"/>
      <c r="J12" s="69"/>
      <c r="K12" s="62"/>
      <c r="L12" s="58"/>
      <c r="M12" s="45"/>
      <c r="N12" s="36"/>
      <c r="O12" s="51"/>
      <c r="P12" s="40"/>
      <c r="Q12" s="54"/>
      <c r="R12" s="35"/>
      <c r="S12" s="51"/>
      <c r="T12" s="40"/>
      <c r="U12" s="45"/>
      <c r="V12" s="35"/>
    </row>
    <row r="13" spans="1:22" x14ac:dyDescent="0.35">
      <c r="A13" s="25" t="s">
        <v>117</v>
      </c>
      <c r="B13" s="32" t="s">
        <v>23</v>
      </c>
      <c r="C13" s="87" t="s">
        <v>118</v>
      </c>
      <c r="D13" s="89" t="s">
        <v>38</v>
      </c>
      <c r="E13" s="29"/>
      <c r="F13" s="75">
        <v>3.68</v>
      </c>
      <c r="G13" s="82"/>
      <c r="H13" s="83"/>
      <c r="I13" s="92"/>
      <c r="J13" s="69"/>
      <c r="K13" s="62"/>
      <c r="L13" s="58"/>
      <c r="M13" s="45"/>
      <c r="N13" s="36"/>
      <c r="O13" s="51"/>
      <c r="P13" s="40"/>
      <c r="Q13" s="54"/>
      <c r="R13" s="35"/>
      <c r="S13" s="51"/>
      <c r="T13" s="40"/>
      <c r="U13" s="45"/>
      <c r="V13" s="35"/>
    </row>
    <row r="14" spans="1:22" ht="15" customHeight="1" x14ac:dyDescent="0.35">
      <c r="A14" s="25"/>
      <c r="B14" s="32"/>
      <c r="C14" s="91"/>
      <c r="D14" s="89"/>
      <c r="E14" s="29"/>
      <c r="F14" s="75"/>
      <c r="G14" s="82"/>
      <c r="H14" s="83"/>
      <c r="I14" s="92"/>
      <c r="J14" s="69"/>
      <c r="K14" s="62"/>
      <c r="L14" s="117"/>
      <c r="M14" s="45"/>
      <c r="N14" s="36"/>
      <c r="O14" s="51"/>
      <c r="P14" s="40"/>
      <c r="Q14" s="54"/>
      <c r="R14" s="35"/>
      <c r="S14" s="51"/>
      <c r="T14" s="40"/>
      <c r="U14" s="45"/>
      <c r="V14" s="35"/>
    </row>
    <row r="15" spans="1:22" x14ac:dyDescent="0.35">
      <c r="A15" s="25"/>
      <c r="B15" s="32"/>
      <c r="C15" s="32"/>
      <c r="D15" s="26"/>
      <c r="E15" s="27"/>
      <c r="F15" s="76"/>
      <c r="G15" s="82"/>
      <c r="H15" s="83"/>
      <c r="I15" s="68"/>
      <c r="J15" s="69"/>
      <c r="K15" s="62"/>
      <c r="L15" s="58"/>
      <c r="M15" s="45"/>
      <c r="N15" s="36"/>
      <c r="O15" s="52"/>
      <c r="P15" s="8"/>
      <c r="Q15" s="55"/>
      <c r="R15" s="36"/>
      <c r="S15" s="52"/>
      <c r="T15" s="8"/>
      <c r="U15" s="45"/>
      <c r="V15" s="36"/>
    </row>
    <row r="16" spans="1:22" ht="15" thickBot="1" x14ac:dyDescent="0.4">
      <c r="A16" s="16"/>
      <c r="B16" s="16"/>
      <c r="C16" s="16"/>
      <c r="D16" s="17"/>
      <c r="E16" s="23">
        <f>SUM(E3:E15)</f>
        <v>179.99</v>
      </c>
      <c r="F16" s="77">
        <f>SUM(F3:F15)</f>
        <v>13</v>
      </c>
      <c r="G16" s="84">
        <f t="shared" ref="G16:U16" si="0">SUM(G3:G15)</f>
        <v>15.16</v>
      </c>
      <c r="H16" s="85">
        <f t="shared" si="0"/>
        <v>5.95</v>
      </c>
      <c r="I16" s="70">
        <f t="shared" si="0"/>
        <v>1.17</v>
      </c>
      <c r="J16" s="71">
        <f t="shared" si="0"/>
        <v>0</v>
      </c>
      <c r="K16" s="63">
        <f t="shared" si="0"/>
        <v>48.19</v>
      </c>
      <c r="L16" s="59">
        <f t="shared" si="0"/>
        <v>0</v>
      </c>
      <c r="M16" s="46">
        <f t="shared" si="0"/>
        <v>5.47</v>
      </c>
      <c r="N16" s="37">
        <f t="shared" si="0"/>
        <v>0</v>
      </c>
      <c r="O16" s="53">
        <f t="shared" si="0"/>
        <v>30.029999999999998</v>
      </c>
      <c r="P16" s="41">
        <f t="shared" si="0"/>
        <v>0.81</v>
      </c>
      <c r="Q16" s="46">
        <f t="shared" si="0"/>
        <v>23.82</v>
      </c>
      <c r="R16" s="37">
        <f t="shared" si="0"/>
        <v>4.0599999999999996</v>
      </c>
      <c r="S16" s="53">
        <f t="shared" si="0"/>
        <v>3.25</v>
      </c>
      <c r="T16" s="41">
        <f t="shared" si="0"/>
        <v>0</v>
      </c>
      <c r="U16" s="46">
        <f t="shared" si="0"/>
        <v>3.98</v>
      </c>
      <c r="V16" s="37">
        <f>SUM(V4:V15)</f>
        <v>0.9</v>
      </c>
    </row>
    <row r="17" spans="1:22" ht="15" thickBot="1" x14ac:dyDescent="0.4">
      <c r="A17" s="10"/>
      <c r="B17" s="10" t="s">
        <v>7</v>
      </c>
      <c r="C17" s="10"/>
      <c r="D17" s="14"/>
      <c r="E17" s="11"/>
      <c r="F17" s="42">
        <f>E16-F16</f>
        <v>166.99</v>
      </c>
      <c r="G17" s="6"/>
      <c r="H17" s="7">
        <f>G16-H16</f>
        <v>9.2100000000000009</v>
      </c>
      <c r="I17" s="6"/>
      <c r="J17" s="7">
        <f>I16-J16</f>
        <v>1.17</v>
      </c>
      <c r="K17" s="11"/>
      <c r="L17" s="42">
        <f>K16-L16</f>
        <v>48.19</v>
      </c>
      <c r="M17" s="6"/>
      <c r="N17" s="7">
        <f>M16-N16</f>
        <v>5.47</v>
      </c>
      <c r="O17" s="11"/>
      <c r="P17" s="42">
        <f>O16-P16</f>
        <v>29.22</v>
      </c>
      <c r="Q17" s="6"/>
      <c r="R17" s="7">
        <f>Q16-R16</f>
        <v>19.760000000000002</v>
      </c>
      <c r="S17" s="11"/>
      <c r="T17" s="42">
        <f>S16-T16</f>
        <v>3.25</v>
      </c>
      <c r="U17" s="6"/>
      <c r="V17" s="7">
        <f>U16-V16</f>
        <v>3.08</v>
      </c>
    </row>
    <row r="18" spans="1:22" ht="15" thickBot="1" x14ac:dyDescent="0.4">
      <c r="A18" s="93"/>
      <c r="B18" s="93"/>
      <c r="C18" s="93"/>
      <c r="D18" s="12"/>
      <c r="E18" s="94"/>
      <c r="F18" s="95"/>
      <c r="G18" s="96"/>
      <c r="H18" s="97"/>
      <c r="I18" s="72"/>
      <c r="J18" s="98"/>
      <c r="K18" s="99"/>
      <c r="L18" s="100"/>
      <c r="M18" s="101"/>
      <c r="N18" s="102"/>
      <c r="O18" s="18"/>
      <c r="P18" s="103"/>
      <c r="Q18" s="47"/>
      <c r="R18" s="102"/>
      <c r="S18" s="18"/>
      <c r="T18" s="103"/>
      <c r="U18" s="47"/>
      <c r="V18" s="102"/>
    </row>
    <row r="19" spans="1:22" ht="15" thickBot="1" x14ac:dyDescent="0.4">
      <c r="A19" s="104"/>
      <c r="B19" s="90" t="s">
        <v>8</v>
      </c>
      <c r="C19" s="90"/>
      <c r="D19" s="105"/>
      <c r="E19" s="106"/>
      <c r="F19" s="107">
        <f>F17-F18</f>
        <v>166.99</v>
      </c>
      <c r="G19" s="108"/>
      <c r="H19" s="109">
        <f>H17-H18</f>
        <v>9.2100000000000009</v>
      </c>
      <c r="I19" s="110"/>
      <c r="J19" s="111">
        <f>J17-J18</f>
        <v>1.17</v>
      </c>
      <c r="K19" s="112"/>
      <c r="L19" s="113">
        <f>L17-L18</f>
        <v>48.19</v>
      </c>
      <c r="M19" s="114"/>
      <c r="N19" s="115">
        <f>N17-N18</f>
        <v>5.47</v>
      </c>
      <c r="O19" s="116"/>
      <c r="P19" s="113">
        <f>P17-P18</f>
        <v>29.22</v>
      </c>
      <c r="Q19" s="114"/>
      <c r="R19" s="115">
        <f>R17-R18</f>
        <v>19.760000000000002</v>
      </c>
      <c r="S19" s="116"/>
      <c r="T19" s="113">
        <f>T17-T18</f>
        <v>3.25</v>
      </c>
      <c r="U19" s="114"/>
      <c r="V19" s="115">
        <f>V17-V18</f>
        <v>3.08</v>
      </c>
    </row>
    <row r="20" spans="1:22" x14ac:dyDescent="0.35">
      <c r="F20" s="2"/>
    </row>
    <row r="21" spans="1:22" x14ac:dyDescent="0.35">
      <c r="E21" s="2"/>
      <c r="F21" s="2"/>
    </row>
    <row r="22" spans="1:22" x14ac:dyDescent="0.35">
      <c r="B22" s="2"/>
    </row>
    <row r="23" spans="1:22" x14ac:dyDescent="0.35">
      <c r="E23" s="2"/>
      <c r="H23" s="2"/>
      <c r="I23" s="2"/>
      <c r="K23" s="2"/>
    </row>
    <row r="24" spans="1:22" x14ac:dyDescent="0.35">
      <c r="E24" s="2"/>
      <c r="F24" s="4"/>
      <c r="H24" s="2"/>
      <c r="I24" s="2"/>
    </row>
    <row r="25" spans="1:22" x14ac:dyDescent="0.35">
      <c r="E25" s="2"/>
      <c r="F25" s="2"/>
      <c r="G25" s="3"/>
      <c r="H25" s="2"/>
      <c r="I25" s="2"/>
    </row>
    <row r="26" spans="1:22" x14ac:dyDescent="0.35">
      <c r="E26" s="2"/>
      <c r="F26" s="2"/>
      <c r="G26" s="3"/>
      <c r="H26" s="2"/>
    </row>
    <row r="27" spans="1:22" x14ac:dyDescent="0.35">
      <c r="E27" s="2"/>
      <c r="F27" s="5"/>
    </row>
    <row r="28" spans="1:22" x14ac:dyDescent="0.35">
      <c r="E28" s="2"/>
      <c r="F28" s="5"/>
    </row>
    <row r="29" spans="1:22" x14ac:dyDescent="0.35">
      <c r="D29" s="3"/>
      <c r="E29" s="2"/>
      <c r="F29" s="5"/>
    </row>
    <row r="30" spans="1:22" x14ac:dyDescent="0.35">
      <c r="E30" s="2"/>
      <c r="F30" s="5"/>
    </row>
    <row r="31" spans="1:22" x14ac:dyDescent="0.35">
      <c r="E31" s="2"/>
      <c r="F31" s="2"/>
      <c r="O31" s="2"/>
    </row>
    <row r="32" spans="1:22" x14ac:dyDescent="0.35">
      <c r="E32" s="2"/>
      <c r="I32" s="4"/>
    </row>
    <row r="33" spans="3:7" x14ac:dyDescent="0.35">
      <c r="F33" s="2"/>
    </row>
    <row r="34" spans="3:7" x14ac:dyDescent="0.35">
      <c r="D34" s="3"/>
      <c r="E34" s="2"/>
    </row>
    <row r="35" spans="3:7" x14ac:dyDescent="0.35">
      <c r="D35" s="3"/>
      <c r="E35" s="2"/>
    </row>
    <row r="36" spans="3:7" x14ac:dyDescent="0.35">
      <c r="D36" s="3"/>
      <c r="E36" s="2"/>
    </row>
    <row r="37" spans="3:7" x14ac:dyDescent="0.35">
      <c r="D37" s="3"/>
      <c r="E37" s="2"/>
    </row>
    <row r="38" spans="3:7" x14ac:dyDescent="0.35">
      <c r="D38" s="3"/>
      <c r="E38" s="2"/>
    </row>
    <row r="39" spans="3:7" x14ac:dyDescent="0.35">
      <c r="D39" s="3"/>
      <c r="E39" s="2"/>
      <c r="G39" s="2"/>
    </row>
    <row r="40" spans="3:7" x14ac:dyDescent="0.35">
      <c r="D40" s="3"/>
      <c r="E40" s="2"/>
      <c r="G40" s="2"/>
    </row>
    <row r="41" spans="3:7" x14ac:dyDescent="0.35">
      <c r="E41" s="2"/>
      <c r="F41" s="2"/>
    </row>
    <row r="42" spans="3:7" x14ac:dyDescent="0.35">
      <c r="E42" s="2"/>
      <c r="F42" s="2"/>
    </row>
    <row r="44" spans="3:7" x14ac:dyDescent="0.35">
      <c r="E44" s="2">
        <f>SUM(E23:E43)</f>
        <v>0</v>
      </c>
    </row>
    <row r="48" spans="3:7" x14ac:dyDescent="0.35">
      <c r="C48" s="2"/>
    </row>
    <row r="50" spans="4:5" x14ac:dyDescent="0.35">
      <c r="E50" s="2"/>
    </row>
    <row r="51" spans="4:5" x14ac:dyDescent="0.35">
      <c r="E51" s="2"/>
    </row>
    <row r="52" spans="4:5" x14ac:dyDescent="0.35">
      <c r="E52" s="2"/>
    </row>
    <row r="53" spans="4:5" x14ac:dyDescent="0.35">
      <c r="E53" s="2"/>
    </row>
    <row r="54" spans="4:5" x14ac:dyDescent="0.35">
      <c r="E54" s="2"/>
    </row>
    <row r="55" spans="4:5" x14ac:dyDescent="0.35">
      <c r="E55" s="2"/>
    </row>
    <row r="56" spans="4:5" x14ac:dyDescent="0.35">
      <c r="D56" s="3"/>
      <c r="E56" s="2"/>
    </row>
    <row r="57" spans="4:5" x14ac:dyDescent="0.35">
      <c r="E57" s="2"/>
    </row>
    <row r="58" spans="4:5" x14ac:dyDescent="0.35">
      <c r="E58" s="2"/>
    </row>
    <row r="59" spans="4:5" x14ac:dyDescent="0.35">
      <c r="E59" s="2"/>
    </row>
    <row r="61" spans="4:5" x14ac:dyDescent="0.35">
      <c r="D61" s="3"/>
      <c r="E61" s="2"/>
    </row>
    <row r="62" spans="4:5" x14ac:dyDescent="0.35">
      <c r="D62" s="3"/>
      <c r="E62" s="2"/>
    </row>
    <row r="63" spans="4:5" x14ac:dyDescent="0.35">
      <c r="D63" s="3"/>
      <c r="E63" s="2"/>
    </row>
    <row r="64" spans="4:5" x14ac:dyDescent="0.35">
      <c r="D64" s="3"/>
      <c r="E64" s="2"/>
    </row>
    <row r="65" spans="4:5" x14ac:dyDescent="0.35">
      <c r="D65" s="3"/>
      <c r="E65" s="2"/>
    </row>
    <row r="66" spans="4:5" x14ac:dyDescent="0.35">
      <c r="D66" s="3"/>
      <c r="E66" s="2"/>
    </row>
    <row r="67" spans="4:5" x14ac:dyDescent="0.35">
      <c r="E67" s="2"/>
    </row>
  </sheetData>
  <mergeCells count="9">
    <mergeCell ref="Q1:R1"/>
    <mergeCell ref="S1:T1"/>
    <mergeCell ref="U1:V1"/>
    <mergeCell ref="E1:F1"/>
    <mergeCell ref="G1:H1"/>
    <mergeCell ref="I1:J1"/>
    <mergeCell ref="K1:L1"/>
    <mergeCell ref="M1:N1"/>
    <mergeCell ref="O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APR-26</vt:lpstr>
      <vt:lpstr>MAY-26</vt:lpstr>
      <vt:lpstr>JUNE-26</vt:lpstr>
      <vt:lpstr>JULY-26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Krsala-Pc</dc:creator>
  <cp:lastModifiedBy>Dell</cp:lastModifiedBy>
  <cp:lastPrinted>2023-06-26T10:59:46Z</cp:lastPrinted>
  <dcterms:created xsi:type="dcterms:W3CDTF">2014-03-10T06:53:28Z</dcterms:created>
  <dcterms:modified xsi:type="dcterms:W3CDTF">2026-08-19T15:26:35Z</dcterms:modified>
</cp:coreProperties>
</file>