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codeName="ThisWorkbook" defaultThemeVersion="124226"/>
  <xr:revisionPtr revIDLastSave="0" documentId="13_ncr:1_{03109FC9-9878-421C-92E0-B4AEB91253FE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RHEAA" sheetId="35" r:id="rId1"/>
    <sheet name="SATAAR" sheetId="36" r:id="rId2"/>
    <sheet name="JGD" sheetId="38" r:id="rId3"/>
    <sheet name="UM" sheetId="39" r:id="rId4"/>
    <sheet name="BAMAL" sheetId="40" r:id="rId5"/>
    <sheet name="TOTAL" sheetId="2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35" l="1"/>
  <c r="H18" i="40"/>
  <c r="H17" i="40"/>
  <c r="G82" i="22" l="1"/>
  <c r="H16" i="40" l="1"/>
  <c r="H15" i="40"/>
  <c r="H9" i="38" l="1"/>
  <c r="H17" i="39" l="1"/>
  <c r="H8" i="38" l="1"/>
  <c r="H14" i="40" l="1"/>
  <c r="I7" i="36" l="1"/>
  <c r="I6" i="36"/>
  <c r="H13" i="40"/>
  <c r="H12" i="40"/>
  <c r="H16" i="39" l="1"/>
  <c r="G55" i="22"/>
  <c r="D55" i="22"/>
  <c r="H15" i="39"/>
  <c r="I14" i="39"/>
  <c r="J55" i="22" l="1"/>
  <c r="H14" i="39"/>
  <c r="H13" i="39" l="1"/>
  <c r="H7" i="35"/>
  <c r="H6" i="35"/>
  <c r="H7" i="38" l="1"/>
  <c r="H11" i="40"/>
  <c r="H10" i="40"/>
  <c r="I5" i="36"/>
  <c r="G40" i="22" l="1"/>
  <c r="D40" i="22"/>
  <c r="J40" i="22" l="1"/>
  <c r="H12" i="39" l="1"/>
  <c r="H6" i="38" l="1"/>
  <c r="H11" i="39"/>
  <c r="H10" i="39"/>
  <c r="H9" i="39" l="1"/>
  <c r="H8" i="39"/>
  <c r="I5" i="38" l="1"/>
  <c r="H5" i="38" s="1"/>
  <c r="G26" i="22"/>
  <c r="D26" i="22" l="1"/>
  <c r="J26" i="22" s="1"/>
  <c r="H7" i="39" l="1"/>
  <c r="H9" i="40" l="1"/>
  <c r="H8" i="40"/>
  <c r="H5" i="35" l="1"/>
  <c r="H4" i="35" l="1"/>
  <c r="H6" i="39"/>
  <c r="H7" i="40"/>
  <c r="H6" i="40"/>
  <c r="H5" i="40"/>
  <c r="H4" i="40"/>
  <c r="G16" i="22"/>
  <c r="H4" i="38"/>
  <c r="H5" i="39"/>
  <c r="H4" i="39"/>
  <c r="D16" i="22" l="1"/>
  <c r="J16" i="22" s="1"/>
  <c r="H21" i="40" l="1"/>
  <c r="I21" i="40"/>
  <c r="B21" i="40"/>
  <c r="J21" i="40" l="1"/>
  <c r="K21" i="40" s="1"/>
  <c r="B22" i="39" l="1"/>
  <c r="I22" i="39"/>
  <c r="H22" i="39" l="1"/>
  <c r="J22" i="39" s="1"/>
  <c r="K22" i="39" s="1"/>
  <c r="I14" i="38" l="1"/>
  <c r="B14" i="38"/>
  <c r="H14" i="38" l="1"/>
  <c r="J14" i="38" s="1"/>
  <c r="K14" i="38" s="1"/>
  <c r="C5" i="36"/>
  <c r="I4" i="36" l="1"/>
  <c r="I15" i="36" l="1"/>
  <c r="B15" i="36"/>
  <c r="J15" i="36"/>
  <c r="K15" i="36" l="1"/>
  <c r="L15" i="36" s="1"/>
  <c r="C4" i="36"/>
  <c r="C15" i="36" s="1"/>
  <c r="I12" i="35" l="1"/>
  <c r="B12" i="35"/>
  <c r="H12" i="35"/>
  <c r="J12" i="35" l="1"/>
  <c r="K12" i="35" s="1"/>
</calcChain>
</file>

<file path=xl/sharedStrings.xml><?xml version="1.0" encoding="utf-8"?>
<sst xmlns="http://schemas.openxmlformats.org/spreadsheetml/2006/main" count="431" uniqueCount="180">
  <si>
    <t>DATE</t>
  </si>
  <si>
    <t>BABU</t>
  </si>
  <si>
    <t>ISSUE-24</t>
  </si>
  <si>
    <t>ISSUE-18</t>
  </si>
  <si>
    <t>BALANCE-24</t>
  </si>
  <si>
    <t>BALANCE-18</t>
  </si>
  <si>
    <t>REF-NO</t>
  </si>
  <si>
    <t>BALANCE</t>
  </si>
  <si>
    <t>ISSUE</t>
  </si>
  <si>
    <t>IMAGE</t>
  </si>
  <si>
    <t>RECIEVE-24</t>
  </si>
  <si>
    <t>RECIEVE</t>
  </si>
  <si>
    <t>RECIEVE-18/22</t>
  </si>
  <si>
    <t>AVG RATE</t>
  </si>
  <si>
    <t>OPENING</t>
  </si>
  <si>
    <t>RECEIVED</t>
  </si>
  <si>
    <t>PERSON</t>
  </si>
  <si>
    <t>RECEIVE-24</t>
  </si>
  <si>
    <t>RHEAA</t>
  </si>
  <si>
    <t>SAFWAN JEWELLERY</t>
  </si>
  <si>
    <t>SAFWAN</t>
  </si>
  <si>
    <t>JGD DIAMONDS</t>
  </si>
  <si>
    <t>SMGAJ/25-26/003</t>
  </si>
  <si>
    <t>15.04.25</t>
  </si>
  <si>
    <t>JGD</t>
  </si>
  <si>
    <t>UTTAM MAL</t>
  </si>
  <si>
    <t>UM</t>
  </si>
  <si>
    <t>18 KT BANGLE</t>
  </si>
  <si>
    <t>SB</t>
  </si>
  <si>
    <t>SHREE GOURANGO</t>
  </si>
  <si>
    <t>SMGAJ/26-27/001</t>
  </si>
  <si>
    <t>SMGAJ/26-27/002</t>
  </si>
  <si>
    <t>01.04.26</t>
  </si>
  <si>
    <t>02.04.26</t>
  </si>
  <si>
    <t>SMGJ/HYD/BS/001</t>
  </si>
  <si>
    <t>SMGAJ/26-27/003</t>
  </si>
  <si>
    <t>CVD HARAM</t>
  </si>
  <si>
    <t>CVD BRAC</t>
  </si>
  <si>
    <t>09.04.26</t>
  </si>
  <si>
    <t>VJY/002/26-27</t>
  </si>
  <si>
    <t>RHEEA JEWELS</t>
  </si>
  <si>
    <t>03.04.26</t>
  </si>
  <si>
    <t>SMGAJ/26-27/004</t>
  </si>
  <si>
    <t>07.04.26</t>
  </si>
  <si>
    <t>2 RING</t>
  </si>
  <si>
    <t>POLKI BANGLE</t>
  </si>
  <si>
    <t>22 KT REPAIR</t>
  </si>
  <si>
    <t>18 KTREPAIR</t>
  </si>
  <si>
    <t>14.04.26</t>
  </si>
  <si>
    <t>MH/2627/G/3</t>
  </si>
  <si>
    <t>05.04.26</t>
  </si>
  <si>
    <t>SMGAJ/26-27/005</t>
  </si>
  <si>
    <t>CVD BANGLE,CVD LATKAN</t>
  </si>
  <si>
    <t>15.04.26</t>
  </si>
  <si>
    <t>SMGAJ/26-27/006</t>
  </si>
  <si>
    <t>SMGAJ/25-26/006</t>
  </si>
  <si>
    <t>06.04.26</t>
  </si>
  <si>
    <t>04.04.26</t>
  </si>
  <si>
    <t>JHUMKIE,EMD RING</t>
  </si>
  <si>
    <t>18.04.26</t>
  </si>
  <si>
    <t>VJY/005/26-27</t>
  </si>
  <si>
    <t>22 KT BANGLE</t>
  </si>
  <si>
    <t>SMGAJ/26-27/008</t>
  </si>
  <si>
    <t>SMGAJ/25-26/008</t>
  </si>
  <si>
    <t>3 REPAIR</t>
  </si>
  <si>
    <t>22.04.26</t>
  </si>
  <si>
    <t>13.04.26</t>
  </si>
  <si>
    <t>MALA</t>
  </si>
  <si>
    <t>16.04.26</t>
  </si>
  <si>
    <t>SMGAJ/26-27/009</t>
  </si>
  <si>
    <t>3 BRACLATE</t>
  </si>
  <si>
    <t>17.04.26</t>
  </si>
  <si>
    <t>SMGAJ/26-27/010</t>
  </si>
  <si>
    <t>24.04.26</t>
  </si>
  <si>
    <t>KFJ/26/27-049</t>
  </si>
  <si>
    <t>SMGAJ/26-27/011</t>
  </si>
  <si>
    <t>SMGAJ/25-26/011</t>
  </si>
  <si>
    <t>JHUMKIE,NATH</t>
  </si>
  <si>
    <t>MH/2627/G/21</t>
  </si>
  <si>
    <t>SMGAJ/26-27/012</t>
  </si>
  <si>
    <t>CHAIN</t>
  </si>
  <si>
    <t>01.05.26</t>
  </si>
  <si>
    <t>02.05.26</t>
  </si>
  <si>
    <t>BRAC.JHUMKIE.TANMAN</t>
  </si>
  <si>
    <t>08.05.26</t>
  </si>
  <si>
    <t>05.05.26</t>
  </si>
  <si>
    <t>SMGAJ/26-27/013</t>
  </si>
  <si>
    <t>CHOKER,ER</t>
  </si>
  <si>
    <t>16.05.26</t>
  </si>
  <si>
    <t>SMGJ/HYD/BS/015</t>
  </si>
  <si>
    <t>SMGAJ/26-27/014</t>
  </si>
  <si>
    <t>SMGAJ/25-26/014</t>
  </si>
  <si>
    <t>BNG RING</t>
  </si>
  <si>
    <t>20.05.26</t>
  </si>
  <si>
    <t>TG/2627/G/404</t>
  </si>
  <si>
    <t>12.05.26</t>
  </si>
  <si>
    <t>SMGAJ/26-27/015</t>
  </si>
  <si>
    <t>REAPAIR JHUM,NEW ER</t>
  </si>
  <si>
    <t>29.05.26</t>
  </si>
  <si>
    <t>01.06.26</t>
  </si>
  <si>
    <t>02.06.26</t>
  </si>
  <si>
    <t>KFJ/26-27/108</t>
  </si>
  <si>
    <t>SMGJ/HYD/BS/018</t>
  </si>
  <si>
    <t>SMGAJ/26-27/016</t>
  </si>
  <si>
    <t>01.06.25</t>
  </si>
  <si>
    <t>22KT REP ER</t>
  </si>
  <si>
    <t>3 EMD ITEM</t>
  </si>
  <si>
    <t>KFJ/26-27/110</t>
  </si>
  <si>
    <t>SMGAJ/26-27/017</t>
  </si>
  <si>
    <t>03.06.26</t>
  </si>
  <si>
    <t>R PENDENT</t>
  </si>
  <si>
    <t>04.06.26</t>
  </si>
  <si>
    <t>SMGAJ/26-27/018</t>
  </si>
  <si>
    <t>SMGAJ/25-26/018</t>
  </si>
  <si>
    <t>SMGAJ/26-27/019</t>
  </si>
  <si>
    <t>2 ring,tops</t>
  </si>
  <si>
    <t>08.06.26</t>
  </si>
  <si>
    <t>06.06.26</t>
  </si>
  <si>
    <t>SMGAJ/26-27/020</t>
  </si>
  <si>
    <t>SMGAJ/26-27/021</t>
  </si>
  <si>
    <t>06.08.26</t>
  </si>
  <si>
    <t>08.08.26</t>
  </si>
  <si>
    <t>SMGAJ/25-26/019</t>
  </si>
  <si>
    <t>SMGAJ/25-26/021</t>
  </si>
  <si>
    <t>09.06.26</t>
  </si>
  <si>
    <t>16.06.26</t>
  </si>
  <si>
    <t>18 KT PEN</t>
  </si>
  <si>
    <t>10.06.26</t>
  </si>
  <si>
    <t>SMGAJ/26-27/022</t>
  </si>
  <si>
    <t>BRIDLE Set</t>
  </si>
  <si>
    <t>24.06.26</t>
  </si>
  <si>
    <t>15.06.26</t>
  </si>
  <si>
    <t>SMGAJ/26-27/023</t>
  </si>
  <si>
    <t>POLKI PEN ER</t>
  </si>
  <si>
    <t>01.07.26</t>
  </si>
  <si>
    <t>MH/2627/G/94</t>
  </si>
  <si>
    <t>SMGAJ/26-27/024</t>
  </si>
  <si>
    <t>TOPS 2 BRAC, REPAIR</t>
  </si>
  <si>
    <t>03.07.26</t>
  </si>
  <si>
    <t>SMGAJ/26-27/025</t>
  </si>
  <si>
    <t>06.07.26</t>
  </si>
  <si>
    <t>06.07.25</t>
  </si>
  <si>
    <t>POLKI MALA</t>
  </si>
  <si>
    <t>02.07.26</t>
  </si>
  <si>
    <t>SMGAJ/26-27/026</t>
  </si>
  <si>
    <t>SMGAJ/25-26/026</t>
  </si>
  <si>
    <t>PEND CLOSE OPEN</t>
  </si>
  <si>
    <t>08.07.26</t>
  </si>
  <si>
    <t>CHAND</t>
  </si>
  <si>
    <t>SMGAJ/26-27/027</t>
  </si>
  <si>
    <t>KANTHI</t>
  </si>
  <si>
    <t>SMGAJ/26-27/028</t>
  </si>
  <si>
    <t>ER</t>
  </si>
  <si>
    <t>09.07.26</t>
  </si>
  <si>
    <t>SMGAJ/25-26/028</t>
  </si>
  <si>
    <t>SMGAJ/26-27/029</t>
  </si>
  <si>
    <t>RING</t>
  </si>
  <si>
    <t>13.07.26</t>
  </si>
  <si>
    <t>21.07.26</t>
  </si>
  <si>
    <t>SMGJ/HYD/BS/041</t>
  </si>
  <si>
    <t>SMGAJ/25-26/030</t>
  </si>
  <si>
    <t>10.07.26</t>
  </si>
  <si>
    <t>SMGAJ/26-27/030</t>
  </si>
  <si>
    <t>TOPS</t>
  </si>
  <si>
    <t>SMGAJ/26-27/031</t>
  </si>
  <si>
    <t>11.07.26</t>
  </si>
  <si>
    <t>SMGAJ/26-27/032</t>
  </si>
  <si>
    <t>CHAIN AAKADA</t>
  </si>
  <si>
    <t>23.07.26</t>
  </si>
  <si>
    <t>TG/2627/G/790</t>
  </si>
  <si>
    <t>SANTOSH HYD</t>
  </si>
  <si>
    <t>GST/26-27/106</t>
  </si>
  <si>
    <t>31.07.26</t>
  </si>
  <si>
    <t>03.08.26</t>
  </si>
  <si>
    <t>SMGAJ/26-27/034</t>
  </si>
  <si>
    <t>17.08.26</t>
  </si>
  <si>
    <t>22 KT CORAL RING</t>
  </si>
  <si>
    <t>2 BRAC,1NEK REPAIR</t>
  </si>
  <si>
    <t>SMGAJ/25-26/035</t>
  </si>
  <si>
    <t>22kt BANGLE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</si>
</sst>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26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0" xfId="0" applyNumberFormat="1"/>
    <xf numFmtId="21" fontId="0" fillId="0" borderId="1" xfId="0" applyNumberFormat="1" applyBorder="1" applyAlignment="1">
      <alignment horizontal="center"/>
    </xf>
    <xf numFmtId="21" fontId="0" fillId="0" borderId="18" xfId="0" applyNumberForma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24" xfId="0" applyNumberFormat="1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30" xfId="0" applyNumberFormat="1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164" fontId="1" fillId="0" borderId="36" xfId="0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4" xfId="0" applyBorder="1" applyAlignment="1">
      <alignment horizontal="center"/>
    </xf>
    <xf numFmtId="164" fontId="1" fillId="0" borderId="40" xfId="0" applyNumberFormat="1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0" fillId="0" borderId="19" xfId="0" applyBorder="1" applyAlignment="1">
      <alignment horizontal="center"/>
    </xf>
    <xf numFmtId="164" fontId="0" fillId="0" borderId="38" xfId="0" applyNumberForma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46" xfId="0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46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164" fontId="3" fillId="0" borderId="48" xfId="0" applyNumberFormat="1" applyFon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35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50" xfId="0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1" xfId="0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39" xfId="0" applyNumberFormat="1" applyBorder="1" applyAlignment="1">
      <alignment horizontal="center"/>
    </xf>
    <xf numFmtId="21" fontId="0" fillId="0" borderId="37" xfId="0" applyNumberFormat="1" applyBorder="1" applyAlignment="1">
      <alignment horizontal="center"/>
    </xf>
    <xf numFmtId="21" fontId="0" fillId="0" borderId="19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2" fontId="0" fillId="0" borderId="0" xfId="0" applyNumberFormat="1"/>
    <xf numFmtId="164" fontId="0" fillId="0" borderId="7" xfId="0" applyNumberFormat="1" applyBorder="1" applyAlignment="1">
      <alignment horizontal="center"/>
    </xf>
    <xf numFmtId="164" fontId="0" fillId="0" borderId="37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4" fillId="0" borderId="4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9D2B4-C033-4B2A-A082-BCBF17823861}">
  <dimension ref="A1:N12"/>
  <sheetViews>
    <sheetView workbookViewId="0">
      <selection activeCell="G10" sqref="G10"/>
    </sheetView>
  </sheetViews>
  <sheetFormatPr defaultRowHeight="14.5" x14ac:dyDescent="0.35"/>
  <cols>
    <col min="2" max="2" width="10.90625" bestFit="1" customWidth="1"/>
    <col min="4" max="4" width="12.453125" bestFit="1" customWidth="1"/>
    <col min="5" max="5" width="16.54296875" bestFit="1" customWidth="1"/>
    <col min="6" max="6" width="22.90625" bestFit="1" customWidth="1"/>
    <col min="7" max="7" width="11.453125" customWidth="1"/>
    <col min="8" max="8" width="13" customWidth="1"/>
    <col min="9" max="9" width="21.08984375" customWidth="1"/>
    <col min="10" max="11" width="11.90625" bestFit="1" customWidth="1"/>
  </cols>
  <sheetData>
    <row r="1" spans="1:14" ht="15" thickBot="1" x14ac:dyDescent="0.4"/>
    <row r="2" spans="1:14" ht="15" thickBot="1" x14ac:dyDescent="0.4">
      <c r="B2" s="90" t="s">
        <v>8</v>
      </c>
      <c r="C2" s="91"/>
      <c r="D2" s="91"/>
      <c r="E2" s="92"/>
      <c r="F2" s="90" t="s">
        <v>11</v>
      </c>
      <c r="G2" s="91"/>
      <c r="H2" s="91"/>
      <c r="I2" s="92"/>
      <c r="J2" s="90" t="s">
        <v>7</v>
      </c>
      <c r="K2" s="92"/>
    </row>
    <row r="3" spans="1:14" ht="15" thickBot="1" x14ac:dyDescent="0.4">
      <c r="B3" s="5" t="s">
        <v>2</v>
      </c>
      <c r="C3" s="6" t="s">
        <v>0</v>
      </c>
      <c r="D3" s="6" t="s">
        <v>1</v>
      </c>
      <c r="E3" s="9" t="s">
        <v>6</v>
      </c>
      <c r="F3" s="25" t="s">
        <v>9</v>
      </c>
      <c r="G3" s="26" t="s">
        <v>0</v>
      </c>
      <c r="H3" s="24" t="s">
        <v>10</v>
      </c>
      <c r="I3" s="27" t="s">
        <v>12</v>
      </c>
      <c r="J3" s="45" t="s">
        <v>4</v>
      </c>
      <c r="K3" s="28" t="s">
        <v>13</v>
      </c>
    </row>
    <row r="4" spans="1:14" x14ac:dyDescent="0.35">
      <c r="A4" s="18"/>
      <c r="B4" s="17">
        <v>18.25</v>
      </c>
      <c r="C4" s="15" t="s">
        <v>56</v>
      </c>
      <c r="D4" s="15" t="s">
        <v>18</v>
      </c>
      <c r="E4" s="58" t="s">
        <v>55</v>
      </c>
      <c r="F4" s="47" t="s">
        <v>27</v>
      </c>
      <c r="G4" s="47" t="s">
        <v>23</v>
      </c>
      <c r="H4" s="62">
        <f>I4*80%</f>
        <v>18.249600000000001</v>
      </c>
      <c r="I4" s="63">
        <v>22.812000000000001</v>
      </c>
      <c r="J4" s="31"/>
      <c r="K4" s="32"/>
    </row>
    <row r="5" spans="1:14" x14ac:dyDescent="0.35">
      <c r="A5" s="18"/>
      <c r="B5" s="14">
        <v>40.853999999999999</v>
      </c>
      <c r="C5" s="1" t="s">
        <v>48</v>
      </c>
      <c r="D5" s="15" t="s">
        <v>18</v>
      </c>
      <c r="E5" s="58" t="s">
        <v>63</v>
      </c>
      <c r="F5" s="38" t="s">
        <v>61</v>
      </c>
      <c r="G5" s="38" t="s">
        <v>59</v>
      </c>
      <c r="H5" s="35">
        <f>I5*96.6%</f>
        <v>40.854072000000002</v>
      </c>
      <c r="I5" s="61">
        <v>42.292000000000002</v>
      </c>
      <c r="J5" s="50"/>
      <c r="K5" s="3"/>
    </row>
    <row r="6" spans="1:14" x14ac:dyDescent="0.35">
      <c r="B6" s="14">
        <v>9.8670000000000009</v>
      </c>
      <c r="C6" s="19" t="s">
        <v>120</v>
      </c>
      <c r="D6" s="15" t="s">
        <v>18</v>
      </c>
      <c r="E6" s="58" t="s">
        <v>122</v>
      </c>
      <c r="F6" s="38" t="s">
        <v>27</v>
      </c>
      <c r="G6" s="38" t="s">
        <v>124</v>
      </c>
      <c r="H6" s="35">
        <f>I6*80%</f>
        <v>9.8672000000000004</v>
      </c>
      <c r="I6" s="61">
        <v>12.334</v>
      </c>
      <c r="J6" s="50"/>
      <c r="K6" s="3"/>
    </row>
    <row r="7" spans="1:14" x14ac:dyDescent="0.35">
      <c r="B7" s="14">
        <v>32.798000000000002</v>
      </c>
      <c r="C7" s="19" t="s">
        <v>121</v>
      </c>
      <c r="D7" s="15" t="s">
        <v>18</v>
      </c>
      <c r="E7" s="58" t="s">
        <v>123</v>
      </c>
      <c r="F7" s="38" t="s">
        <v>126</v>
      </c>
      <c r="G7" s="38" t="s">
        <v>125</v>
      </c>
      <c r="H7" s="35">
        <f>I7*79.8%</f>
        <v>32.797799999999995</v>
      </c>
      <c r="I7" s="61">
        <v>41.1</v>
      </c>
      <c r="J7" s="13"/>
      <c r="K7" s="4"/>
    </row>
    <row r="8" spans="1:14" x14ac:dyDescent="0.35">
      <c r="B8" s="17">
        <v>40.814999999999998</v>
      </c>
      <c r="C8" s="20" t="s">
        <v>173</v>
      </c>
      <c r="D8" s="15" t="s">
        <v>18</v>
      </c>
      <c r="E8" s="58" t="s">
        <v>178</v>
      </c>
      <c r="F8" s="39" t="s">
        <v>179</v>
      </c>
      <c r="G8" s="39" t="s">
        <v>175</v>
      </c>
      <c r="H8" s="35">
        <f>I8*96.6%</f>
        <v>40.815432000000001</v>
      </c>
      <c r="I8" s="65">
        <v>42.252000000000002</v>
      </c>
      <c r="J8" s="13"/>
      <c r="K8" s="4"/>
    </row>
    <row r="9" spans="1:14" x14ac:dyDescent="0.35">
      <c r="B9" s="17"/>
      <c r="C9" s="20"/>
      <c r="D9" s="15"/>
      <c r="E9" s="58"/>
      <c r="F9" s="39"/>
      <c r="G9" s="39"/>
      <c r="H9" s="36"/>
      <c r="I9" s="65"/>
      <c r="J9" s="13"/>
      <c r="K9" s="4"/>
    </row>
    <row r="10" spans="1:14" x14ac:dyDescent="0.35">
      <c r="B10" s="17"/>
      <c r="C10" s="20"/>
      <c r="D10" s="15"/>
      <c r="E10" s="58"/>
      <c r="F10" s="39"/>
      <c r="G10" s="39"/>
      <c r="H10" s="36"/>
      <c r="I10" s="65"/>
      <c r="J10" s="13"/>
      <c r="K10" s="4"/>
    </row>
    <row r="11" spans="1:14" ht="15" thickBot="1" x14ac:dyDescent="0.4">
      <c r="B11" s="10"/>
      <c r="C11" s="11"/>
      <c r="D11" s="11"/>
      <c r="E11" s="53"/>
      <c r="F11" s="51"/>
      <c r="G11" s="51"/>
      <c r="H11" s="34"/>
      <c r="I11" s="52"/>
      <c r="J11" s="52"/>
      <c r="K11" s="12"/>
      <c r="N11" s="18"/>
    </row>
    <row r="12" spans="1:14" ht="15" thickBot="1" x14ac:dyDescent="0.4">
      <c r="B12" s="21">
        <f>SUM(B4:B11)</f>
        <v>142.584</v>
      </c>
      <c r="C12" s="6"/>
      <c r="D12" s="6"/>
      <c r="E12" s="49"/>
      <c r="F12" s="29"/>
      <c r="G12" s="29"/>
      <c r="H12" s="23">
        <f>SUM(H4:H11)</f>
        <v>142.584104</v>
      </c>
      <c r="I12" s="23">
        <f>SUM(I4:I11)</f>
        <v>160.79000000000002</v>
      </c>
      <c r="J12" s="30">
        <f>B12-H12</f>
        <v>-1.0399999999322063E-4</v>
      </c>
      <c r="K12" s="30">
        <f>J12/92%</f>
        <v>-1.1304347825350068E-4</v>
      </c>
    </row>
  </sheetData>
  <mergeCells count="3">
    <mergeCell ref="B2:E2"/>
    <mergeCell ref="F2:I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6DCCC-1690-42A3-82AE-D8ADACA17F44}">
  <dimension ref="B1:O15"/>
  <sheetViews>
    <sheetView workbookViewId="0">
      <selection activeCell="J10" sqref="J10"/>
    </sheetView>
  </sheetViews>
  <sheetFormatPr defaultRowHeight="14.5" x14ac:dyDescent="0.35"/>
  <cols>
    <col min="2" max="3" width="10.90625" customWidth="1"/>
    <col min="5" max="5" width="12.453125" bestFit="1" customWidth="1"/>
    <col min="6" max="6" width="16.54296875" bestFit="1" customWidth="1"/>
    <col min="7" max="7" width="23" bestFit="1" customWidth="1"/>
    <col min="8" max="8" width="11.453125" customWidth="1"/>
    <col min="9" max="9" width="13" customWidth="1"/>
    <col min="10" max="10" width="21.08984375" customWidth="1"/>
    <col min="11" max="12" width="11.90625" bestFit="1" customWidth="1"/>
  </cols>
  <sheetData>
    <row r="1" spans="2:15" ht="15" thickBot="1" x14ac:dyDescent="0.4"/>
    <row r="2" spans="2:15" ht="15" thickBot="1" x14ac:dyDescent="0.4">
      <c r="B2" s="90" t="s">
        <v>2</v>
      </c>
      <c r="C2" s="91"/>
      <c r="D2" s="91"/>
      <c r="E2" s="91"/>
      <c r="F2" s="92"/>
      <c r="G2" s="90" t="s">
        <v>11</v>
      </c>
      <c r="H2" s="91"/>
      <c r="I2" s="91"/>
      <c r="J2" s="92"/>
      <c r="K2" s="90" t="s">
        <v>7</v>
      </c>
      <c r="L2" s="92"/>
    </row>
    <row r="3" spans="2:15" ht="15" thickBot="1" x14ac:dyDescent="0.4">
      <c r="B3" s="5" t="s">
        <v>2</v>
      </c>
      <c r="C3" s="6" t="s">
        <v>3</v>
      </c>
      <c r="D3" s="6" t="s">
        <v>0</v>
      </c>
      <c r="E3" s="6" t="s">
        <v>1</v>
      </c>
      <c r="F3" s="9" t="s">
        <v>6</v>
      </c>
      <c r="G3" s="25" t="s">
        <v>9</v>
      </c>
      <c r="H3" s="26" t="s">
        <v>0</v>
      </c>
      <c r="I3" s="76" t="s">
        <v>10</v>
      </c>
      <c r="J3" s="77" t="s">
        <v>12</v>
      </c>
      <c r="K3" s="77" t="s">
        <v>4</v>
      </c>
      <c r="L3" s="25" t="s">
        <v>5</v>
      </c>
    </row>
    <row r="4" spans="2:15" x14ac:dyDescent="0.35">
      <c r="B4" s="48">
        <v>22.971</v>
      </c>
      <c r="C4" s="57">
        <f t="shared" ref="C4" si="0">B4/76%</f>
        <v>30.225000000000001</v>
      </c>
      <c r="D4" s="54" t="s">
        <v>104</v>
      </c>
      <c r="E4" s="59" t="s">
        <v>20</v>
      </c>
      <c r="F4" s="58" t="s">
        <v>103</v>
      </c>
      <c r="G4" s="60" t="s">
        <v>105</v>
      </c>
      <c r="H4" s="78" t="s">
        <v>100</v>
      </c>
      <c r="I4" s="62">
        <f>J4*92%</f>
        <v>0.61640000000000006</v>
      </c>
      <c r="J4" s="63">
        <v>0.67</v>
      </c>
      <c r="K4" s="46"/>
      <c r="L4" s="46"/>
    </row>
    <row r="5" spans="2:15" x14ac:dyDescent="0.35">
      <c r="B5" s="14">
        <v>19.251999999999999</v>
      </c>
      <c r="C5" s="2">
        <f t="shared" ref="C5" si="1">B5/76%</f>
        <v>25.331578947368421</v>
      </c>
      <c r="D5" s="1" t="s">
        <v>143</v>
      </c>
      <c r="E5" s="1" t="s">
        <v>20</v>
      </c>
      <c r="F5" s="58" t="s">
        <v>145</v>
      </c>
      <c r="G5" s="33" t="s">
        <v>106</v>
      </c>
      <c r="H5" s="73" t="s">
        <v>100</v>
      </c>
      <c r="I5" s="35">
        <f>J5*85%</f>
        <v>22.355</v>
      </c>
      <c r="J5" s="50">
        <v>26.3</v>
      </c>
      <c r="K5" s="43"/>
      <c r="L5" s="43"/>
    </row>
    <row r="6" spans="2:15" x14ac:dyDescent="0.35">
      <c r="B6" s="17"/>
      <c r="C6" s="2"/>
      <c r="D6" s="20"/>
      <c r="E6" s="1"/>
      <c r="F6" s="58"/>
      <c r="G6" s="33" t="s">
        <v>146</v>
      </c>
      <c r="H6" s="73" t="s">
        <v>147</v>
      </c>
      <c r="I6" s="35">
        <f>J6*76%</f>
        <v>14.256079999999999</v>
      </c>
      <c r="J6" s="64">
        <v>18.757999999999999</v>
      </c>
      <c r="K6" s="44"/>
      <c r="L6" s="44"/>
    </row>
    <row r="7" spans="2:15" x14ac:dyDescent="0.35">
      <c r="B7" s="17"/>
      <c r="C7" s="2"/>
      <c r="D7" s="20"/>
      <c r="E7" s="1"/>
      <c r="F7" s="58"/>
      <c r="G7" s="33" t="s">
        <v>148</v>
      </c>
      <c r="H7" s="73" t="s">
        <v>147</v>
      </c>
      <c r="I7" s="35">
        <f>J7*92%</f>
        <v>4.9955999999999996</v>
      </c>
      <c r="J7" s="65">
        <v>5.43</v>
      </c>
      <c r="K7" s="40"/>
      <c r="L7" s="40"/>
    </row>
    <row r="8" spans="2:15" x14ac:dyDescent="0.35">
      <c r="B8" s="17"/>
      <c r="C8" s="2"/>
      <c r="D8" s="20"/>
      <c r="E8" s="1"/>
      <c r="F8" s="58"/>
      <c r="G8" s="40"/>
      <c r="H8" s="74"/>
      <c r="I8" s="35"/>
      <c r="J8" s="65"/>
      <c r="K8" s="40"/>
      <c r="L8" s="40"/>
    </row>
    <row r="9" spans="2:15" x14ac:dyDescent="0.35">
      <c r="B9" s="17"/>
      <c r="C9" s="2"/>
      <c r="D9" s="20"/>
      <c r="E9" s="1"/>
      <c r="F9" s="58"/>
      <c r="G9" s="40"/>
      <c r="H9" s="74"/>
      <c r="I9" s="35"/>
      <c r="J9" s="65"/>
      <c r="K9" s="40"/>
      <c r="L9" s="40"/>
    </row>
    <row r="10" spans="2:15" x14ac:dyDescent="0.35">
      <c r="B10" s="17"/>
      <c r="C10" s="2"/>
      <c r="D10" s="20"/>
      <c r="E10" s="1"/>
      <c r="F10" s="58"/>
      <c r="G10" s="40"/>
      <c r="H10" s="74"/>
      <c r="I10" s="35"/>
      <c r="J10" s="65"/>
      <c r="K10" s="40"/>
      <c r="L10" s="40"/>
    </row>
    <row r="11" spans="2:15" x14ac:dyDescent="0.35">
      <c r="B11" s="17"/>
      <c r="C11" s="16"/>
      <c r="D11" s="20"/>
      <c r="E11" s="1"/>
      <c r="F11" s="58"/>
      <c r="G11" s="40"/>
      <c r="H11" s="74"/>
      <c r="I11" s="35"/>
      <c r="J11" s="65"/>
      <c r="K11" s="40"/>
      <c r="L11" s="40"/>
    </row>
    <row r="12" spans="2:15" x14ac:dyDescent="0.35">
      <c r="B12" s="17"/>
      <c r="C12" s="16"/>
      <c r="D12" s="20"/>
      <c r="E12" s="1"/>
      <c r="F12" s="58"/>
      <c r="G12" s="40"/>
      <c r="H12" s="74"/>
      <c r="I12" s="35"/>
      <c r="J12" s="65"/>
      <c r="K12" s="40"/>
      <c r="L12" s="40"/>
    </row>
    <row r="13" spans="2:15" x14ac:dyDescent="0.35">
      <c r="B13" s="17"/>
      <c r="C13" s="16"/>
      <c r="D13" s="20"/>
      <c r="E13" s="15"/>
      <c r="F13" s="58"/>
      <c r="G13" s="40"/>
      <c r="H13" s="74"/>
      <c r="I13" s="36"/>
      <c r="J13" s="65"/>
      <c r="K13" s="40"/>
      <c r="L13" s="40"/>
    </row>
    <row r="14" spans="2:15" ht="15" thickBot="1" x14ac:dyDescent="0.4">
      <c r="B14" s="10"/>
      <c r="C14" s="11"/>
      <c r="D14" s="11"/>
      <c r="E14" s="11"/>
      <c r="F14" s="53"/>
      <c r="G14" s="34"/>
      <c r="H14" s="68"/>
      <c r="I14" s="66"/>
      <c r="J14" s="52"/>
      <c r="K14" s="34"/>
      <c r="L14" s="34"/>
      <c r="O14" s="18"/>
    </row>
    <row r="15" spans="2:15" ht="15" thickBot="1" x14ac:dyDescent="0.4">
      <c r="B15" s="55">
        <f>SUM(B4:B14)</f>
        <v>42.222999999999999</v>
      </c>
      <c r="C15" s="41">
        <f>SUM(C4:C14)</f>
        <v>55.556578947368422</v>
      </c>
      <c r="D15" s="42"/>
      <c r="E15" s="42"/>
      <c r="F15" s="56"/>
      <c r="G15" s="75"/>
      <c r="H15" s="49"/>
      <c r="I15" s="22">
        <f>SUM(I4:I14)</f>
        <v>42.223079999999996</v>
      </c>
      <c r="J15" s="22">
        <f>SUM(J4:J14)</f>
        <v>51.158000000000001</v>
      </c>
      <c r="K15" s="8">
        <f>B15-I15</f>
        <v>-7.9999999996971383E-5</v>
      </c>
      <c r="L15" s="37">
        <f>K15/76%</f>
        <v>-1.0526315789075182E-4</v>
      </c>
      <c r="N15" s="18"/>
    </row>
  </sheetData>
  <mergeCells count="3">
    <mergeCell ref="B2:F2"/>
    <mergeCell ref="G2:J2"/>
    <mergeCell ref="K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4365D-A232-40FB-AC4E-DF68A62F8460}">
  <dimension ref="A1:N17"/>
  <sheetViews>
    <sheetView workbookViewId="0">
      <selection activeCell="J9" sqref="J9"/>
    </sheetView>
  </sheetViews>
  <sheetFormatPr defaultRowHeight="14.5" x14ac:dyDescent="0.35"/>
  <cols>
    <col min="2" max="2" width="10.90625" bestFit="1" customWidth="1"/>
    <col min="4" max="4" width="12.453125" bestFit="1" customWidth="1"/>
    <col min="5" max="5" width="16.54296875" bestFit="1" customWidth="1"/>
    <col min="6" max="6" width="29" bestFit="1" customWidth="1"/>
    <col min="7" max="7" width="11.453125" customWidth="1"/>
    <col min="8" max="8" width="13" customWidth="1"/>
    <col min="9" max="9" width="21.08984375" customWidth="1"/>
    <col min="10" max="11" width="11.90625" bestFit="1" customWidth="1"/>
  </cols>
  <sheetData>
    <row r="1" spans="1:14" ht="15" thickBot="1" x14ac:dyDescent="0.4"/>
    <row r="2" spans="1:14" ht="15" thickBot="1" x14ac:dyDescent="0.4">
      <c r="B2" s="90" t="s">
        <v>8</v>
      </c>
      <c r="C2" s="91"/>
      <c r="D2" s="91"/>
      <c r="E2" s="92"/>
      <c r="F2" s="90" t="s">
        <v>11</v>
      </c>
      <c r="G2" s="91"/>
      <c r="H2" s="91"/>
      <c r="I2" s="92"/>
      <c r="J2" s="90" t="s">
        <v>7</v>
      </c>
      <c r="K2" s="92"/>
    </row>
    <row r="3" spans="1:14" ht="15" thickBot="1" x14ac:dyDescent="0.4">
      <c r="B3" s="5" t="s">
        <v>2</v>
      </c>
      <c r="C3" s="6" t="s">
        <v>0</v>
      </c>
      <c r="D3" s="6" t="s">
        <v>1</v>
      </c>
      <c r="E3" s="9" t="s">
        <v>6</v>
      </c>
      <c r="F3" s="25" t="s">
        <v>9</v>
      </c>
      <c r="G3" s="26" t="s">
        <v>0</v>
      </c>
      <c r="H3" s="24" t="s">
        <v>10</v>
      </c>
      <c r="I3" s="27" t="s">
        <v>12</v>
      </c>
      <c r="J3" s="77" t="s">
        <v>4</v>
      </c>
      <c r="K3" s="28" t="s">
        <v>13</v>
      </c>
    </row>
    <row r="4" spans="1:14" x14ac:dyDescent="0.35">
      <c r="A4" s="18"/>
      <c r="B4" s="17">
        <v>18.422999999999998</v>
      </c>
      <c r="C4" s="15" t="s">
        <v>33</v>
      </c>
      <c r="D4" s="15" t="s">
        <v>24</v>
      </c>
      <c r="E4" s="58" t="s">
        <v>22</v>
      </c>
      <c r="F4" s="47" t="s">
        <v>58</v>
      </c>
      <c r="G4" s="47" t="s">
        <v>38</v>
      </c>
      <c r="H4" s="80">
        <f t="shared" ref="H4:H9" si="0">I4*80.5%</f>
        <v>18.42323</v>
      </c>
      <c r="I4" s="63">
        <v>22.885999999999999</v>
      </c>
      <c r="J4" s="31"/>
      <c r="K4" s="32"/>
    </row>
    <row r="5" spans="1:14" x14ac:dyDescent="0.35">
      <c r="A5" s="18"/>
      <c r="B5" s="17">
        <v>22.050999999999998</v>
      </c>
      <c r="C5" s="15" t="s">
        <v>73</v>
      </c>
      <c r="D5" s="15" t="s">
        <v>24</v>
      </c>
      <c r="E5" s="58" t="s">
        <v>76</v>
      </c>
      <c r="F5" s="38" t="s">
        <v>77</v>
      </c>
      <c r="G5" s="38" t="s">
        <v>73</v>
      </c>
      <c r="H5" s="35">
        <f t="shared" si="0"/>
        <v>22.050560000000004</v>
      </c>
      <c r="I5" s="61">
        <f>24.69+2.702</f>
        <v>27.392000000000003</v>
      </c>
      <c r="J5" s="50"/>
      <c r="K5" s="3"/>
    </row>
    <row r="6" spans="1:14" x14ac:dyDescent="0.35">
      <c r="A6" s="18"/>
      <c r="B6" s="17">
        <v>4.6740000000000004</v>
      </c>
      <c r="C6" s="15" t="s">
        <v>84</v>
      </c>
      <c r="D6" s="15" t="s">
        <v>24</v>
      </c>
      <c r="E6" s="58" t="s">
        <v>91</v>
      </c>
      <c r="F6" s="39" t="s">
        <v>92</v>
      </c>
      <c r="G6" s="39" t="s">
        <v>93</v>
      </c>
      <c r="H6" s="35">
        <f t="shared" si="0"/>
        <v>4.6738300000000006</v>
      </c>
      <c r="I6" s="65">
        <v>5.806</v>
      </c>
      <c r="J6" s="13"/>
      <c r="K6" s="4"/>
    </row>
    <row r="7" spans="1:14" x14ac:dyDescent="0.35">
      <c r="A7" s="18"/>
      <c r="B7" s="17">
        <v>22.806000000000001</v>
      </c>
      <c r="C7" s="15" t="s">
        <v>111</v>
      </c>
      <c r="D7" s="15" t="s">
        <v>24</v>
      </c>
      <c r="E7" s="58" t="s">
        <v>113</v>
      </c>
      <c r="F7" s="39" t="s">
        <v>115</v>
      </c>
      <c r="G7" s="39" t="s">
        <v>116</v>
      </c>
      <c r="H7" s="35">
        <f t="shared" si="0"/>
        <v>22.80565</v>
      </c>
      <c r="I7" s="65">
        <v>28.33</v>
      </c>
      <c r="J7" s="13"/>
      <c r="K7" s="4"/>
    </row>
    <row r="8" spans="1:14" x14ac:dyDescent="0.35">
      <c r="A8" s="18"/>
      <c r="B8" s="17">
        <v>27.478999999999999</v>
      </c>
      <c r="C8" s="15" t="s">
        <v>138</v>
      </c>
      <c r="D8" s="15" t="s">
        <v>24</v>
      </c>
      <c r="E8" s="58" t="s">
        <v>154</v>
      </c>
      <c r="F8" s="39" t="s">
        <v>152</v>
      </c>
      <c r="G8" s="39" t="s">
        <v>153</v>
      </c>
      <c r="H8" s="35">
        <f t="shared" si="0"/>
        <v>27.479480000000002</v>
      </c>
      <c r="I8" s="65">
        <v>34.136000000000003</v>
      </c>
      <c r="J8" s="13"/>
      <c r="K8" s="4"/>
    </row>
    <row r="9" spans="1:14" x14ac:dyDescent="0.35">
      <c r="A9" s="18"/>
      <c r="B9" s="17">
        <v>12.189</v>
      </c>
      <c r="C9" s="15" t="s">
        <v>161</v>
      </c>
      <c r="D9" s="15" t="s">
        <v>24</v>
      </c>
      <c r="E9" s="58" t="s">
        <v>160</v>
      </c>
      <c r="F9" s="39" t="s">
        <v>163</v>
      </c>
      <c r="G9" s="39" t="s">
        <v>158</v>
      </c>
      <c r="H9" s="36">
        <f t="shared" si="0"/>
        <v>12.189310000000001</v>
      </c>
      <c r="I9" s="65">
        <v>15.141999999999999</v>
      </c>
      <c r="J9" s="13"/>
      <c r="K9" s="4"/>
    </row>
    <row r="10" spans="1:14" x14ac:dyDescent="0.35">
      <c r="A10" s="18"/>
      <c r="B10" s="17"/>
      <c r="C10" s="15"/>
      <c r="D10" s="15"/>
      <c r="E10" s="58"/>
      <c r="F10" s="39"/>
      <c r="G10" s="39"/>
      <c r="H10" s="36"/>
      <c r="I10" s="65"/>
      <c r="J10" s="13"/>
      <c r="K10" s="4"/>
    </row>
    <row r="11" spans="1:14" x14ac:dyDescent="0.35">
      <c r="A11" s="18"/>
      <c r="B11" s="17"/>
      <c r="C11" s="15"/>
      <c r="D11" s="15"/>
      <c r="E11" s="58"/>
      <c r="F11" s="39"/>
      <c r="G11" s="39"/>
      <c r="H11" s="36"/>
      <c r="I11" s="65"/>
      <c r="J11" s="13"/>
      <c r="K11" s="4"/>
    </row>
    <row r="12" spans="1:14" x14ac:dyDescent="0.35">
      <c r="A12" s="18"/>
      <c r="B12" s="17"/>
      <c r="C12" s="15"/>
      <c r="D12" s="15"/>
      <c r="E12" s="58"/>
      <c r="F12" s="39"/>
      <c r="G12" s="39"/>
      <c r="H12" s="36"/>
      <c r="I12" s="65"/>
      <c r="J12" s="13"/>
      <c r="K12" s="4"/>
    </row>
    <row r="13" spans="1:14" ht="15" thickBot="1" x14ac:dyDescent="0.4">
      <c r="B13" s="10"/>
      <c r="C13" s="11"/>
      <c r="D13" s="11"/>
      <c r="E13" s="53"/>
      <c r="F13" s="51"/>
      <c r="G13" s="51"/>
      <c r="H13" s="34"/>
      <c r="I13" s="52"/>
      <c r="J13" s="52"/>
      <c r="K13" s="12"/>
      <c r="N13" s="18"/>
    </row>
    <row r="14" spans="1:14" ht="15" thickBot="1" x14ac:dyDescent="0.4">
      <c r="B14" s="21">
        <f>SUM(B4:B13)</f>
        <v>107.62199999999999</v>
      </c>
      <c r="C14" s="6"/>
      <c r="D14" s="6"/>
      <c r="E14" s="49"/>
      <c r="F14" s="29"/>
      <c r="G14" s="29"/>
      <c r="H14" s="23">
        <f>SUM(H4:H13)</f>
        <v>107.62206</v>
      </c>
      <c r="I14" s="23">
        <f>SUM(I4:I13)</f>
        <v>133.69200000000001</v>
      </c>
      <c r="J14" s="30">
        <f>B14-H14</f>
        <v>-6.0000000019044819E-5</v>
      </c>
      <c r="K14" s="30">
        <f>J14/76%</f>
        <v>-7.8947368446111608E-5</v>
      </c>
    </row>
    <row r="17" spans="12:12" x14ac:dyDescent="0.35">
      <c r="L17" s="18"/>
    </row>
  </sheetData>
  <mergeCells count="3">
    <mergeCell ref="B2:E2"/>
    <mergeCell ref="F2:I2"/>
    <mergeCell ref="J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C19D3-8D28-4CF1-8786-0974B7989282}">
  <dimension ref="A1:N25"/>
  <sheetViews>
    <sheetView topLeftCell="A7" workbookViewId="0">
      <selection activeCell="E16" sqref="E16"/>
    </sheetView>
  </sheetViews>
  <sheetFormatPr defaultRowHeight="14.5" x14ac:dyDescent="0.35"/>
  <cols>
    <col min="2" max="2" width="10.90625" bestFit="1" customWidth="1"/>
    <col min="4" max="4" width="12.453125" bestFit="1" customWidth="1"/>
    <col min="5" max="5" width="16.54296875" bestFit="1" customWidth="1"/>
    <col min="6" max="6" width="29" bestFit="1" customWidth="1"/>
    <col min="7" max="7" width="11.453125" customWidth="1"/>
    <col min="8" max="8" width="13" customWidth="1"/>
    <col min="9" max="9" width="21.08984375" customWidth="1"/>
    <col min="10" max="11" width="11.90625" bestFit="1" customWidth="1"/>
  </cols>
  <sheetData>
    <row r="1" spans="1:11" ht="15" thickBot="1" x14ac:dyDescent="0.4"/>
    <row r="2" spans="1:11" ht="15" thickBot="1" x14ac:dyDescent="0.4">
      <c r="B2" s="90" t="s">
        <v>8</v>
      </c>
      <c r="C2" s="91"/>
      <c r="D2" s="91"/>
      <c r="E2" s="92"/>
      <c r="F2" s="90" t="s">
        <v>11</v>
      </c>
      <c r="G2" s="91"/>
      <c r="H2" s="91"/>
      <c r="I2" s="92"/>
      <c r="J2" s="90" t="s">
        <v>7</v>
      </c>
      <c r="K2" s="92"/>
    </row>
    <row r="3" spans="1:11" ht="15" thickBot="1" x14ac:dyDescent="0.4">
      <c r="B3" s="5" t="s">
        <v>2</v>
      </c>
      <c r="C3" s="6" t="s">
        <v>0</v>
      </c>
      <c r="D3" s="6" t="s">
        <v>1</v>
      </c>
      <c r="E3" s="9" t="s">
        <v>6</v>
      </c>
      <c r="F3" s="25" t="s">
        <v>9</v>
      </c>
      <c r="G3" s="26" t="s">
        <v>0</v>
      </c>
      <c r="H3" s="24" t="s">
        <v>10</v>
      </c>
      <c r="I3" s="27" t="s">
        <v>12</v>
      </c>
      <c r="J3" s="77" t="s">
        <v>4</v>
      </c>
      <c r="K3" s="28" t="s">
        <v>13</v>
      </c>
    </row>
    <row r="4" spans="1:11" x14ac:dyDescent="0.35">
      <c r="A4" s="18"/>
      <c r="B4" s="17">
        <v>130.27799999999999</v>
      </c>
      <c r="C4" s="15" t="s">
        <v>32</v>
      </c>
      <c r="D4" s="15" t="s">
        <v>26</v>
      </c>
      <c r="E4" s="58" t="s">
        <v>30</v>
      </c>
      <c r="F4" s="47" t="s">
        <v>36</v>
      </c>
      <c r="G4" s="47" t="s">
        <v>33</v>
      </c>
      <c r="H4" s="80">
        <f>I4*80.5%</f>
        <v>115.24863000000001</v>
      </c>
      <c r="I4" s="63">
        <v>143.166</v>
      </c>
      <c r="J4" s="31"/>
      <c r="K4" s="32"/>
    </row>
    <row r="5" spans="1:11" x14ac:dyDescent="0.35">
      <c r="A5" s="18"/>
      <c r="B5" s="17">
        <v>59.694000000000003</v>
      </c>
      <c r="C5" s="15" t="s">
        <v>50</v>
      </c>
      <c r="D5" s="15" t="s">
        <v>26</v>
      </c>
      <c r="E5" s="58" t="s">
        <v>51</v>
      </c>
      <c r="F5" s="38" t="s">
        <v>37</v>
      </c>
      <c r="G5" s="38" t="s">
        <v>33</v>
      </c>
      <c r="H5" s="35">
        <f>I5*80.5%</f>
        <v>15.029350000000003</v>
      </c>
      <c r="I5" s="61">
        <v>18.670000000000002</v>
      </c>
      <c r="J5" s="50"/>
      <c r="K5" s="3"/>
    </row>
    <row r="6" spans="1:11" x14ac:dyDescent="0.35">
      <c r="A6" s="18"/>
      <c r="B6" s="17">
        <v>55.488999999999997</v>
      </c>
      <c r="C6" s="15" t="s">
        <v>71</v>
      </c>
      <c r="D6" s="15" t="s">
        <v>26</v>
      </c>
      <c r="E6" s="58" t="s">
        <v>72</v>
      </c>
      <c r="F6" s="38" t="s">
        <v>52</v>
      </c>
      <c r="G6" s="39" t="s">
        <v>53</v>
      </c>
      <c r="H6" s="35">
        <f>I6*80.5%</f>
        <v>59.69397</v>
      </c>
      <c r="I6" s="65">
        <v>74.153999999999996</v>
      </c>
      <c r="J6" s="13"/>
      <c r="K6" s="4"/>
    </row>
    <row r="7" spans="1:11" x14ac:dyDescent="0.35">
      <c r="A7" s="18"/>
      <c r="B7" s="17">
        <v>47.11</v>
      </c>
      <c r="C7" s="15" t="s">
        <v>81</v>
      </c>
      <c r="D7" s="15" t="s">
        <v>26</v>
      </c>
      <c r="E7" s="58" t="s">
        <v>79</v>
      </c>
      <c r="F7" s="39" t="s">
        <v>70</v>
      </c>
      <c r="G7" s="39" t="s">
        <v>65</v>
      </c>
      <c r="H7" s="35">
        <f>I7*80.5%</f>
        <v>55.488650000000007</v>
      </c>
      <c r="I7" s="65">
        <v>68.930000000000007</v>
      </c>
      <c r="J7" s="13"/>
      <c r="K7" s="4"/>
    </row>
    <row r="8" spans="1:11" x14ac:dyDescent="0.35">
      <c r="A8" s="18"/>
      <c r="B8" s="17">
        <v>110.259</v>
      </c>
      <c r="C8" s="15" t="s">
        <v>85</v>
      </c>
      <c r="D8" s="15" t="s">
        <v>26</v>
      </c>
      <c r="E8" s="58" t="s">
        <v>86</v>
      </c>
      <c r="F8" s="39" t="s">
        <v>83</v>
      </c>
      <c r="G8" s="39" t="s">
        <v>84</v>
      </c>
      <c r="H8" s="35">
        <f>I8*80.5%</f>
        <v>42.520099999999999</v>
      </c>
      <c r="I8" s="65">
        <v>52.82</v>
      </c>
      <c r="J8" s="13"/>
      <c r="K8" s="4"/>
    </row>
    <row r="9" spans="1:11" x14ac:dyDescent="0.35">
      <c r="A9" s="18"/>
      <c r="B9" s="17">
        <v>24.792000000000002</v>
      </c>
      <c r="C9" s="15" t="s">
        <v>95</v>
      </c>
      <c r="D9" s="15" t="s">
        <v>26</v>
      </c>
      <c r="E9" s="58" t="s">
        <v>96</v>
      </c>
      <c r="F9" s="39" t="s">
        <v>80</v>
      </c>
      <c r="G9" s="39" t="s">
        <v>84</v>
      </c>
      <c r="H9" s="35">
        <f>I9*83%</f>
        <v>4.5899000000000001</v>
      </c>
      <c r="I9" s="65">
        <v>5.53</v>
      </c>
      <c r="J9" s="13"/>
      <c r="K9" s="4"/>
    </row>
    <row r="10" spans="1:11" x14ac:dyDescent="0.35">
      <c r="A10" s="18"/>
      <c r="B10" s="17">
        <v>331.81200000000001</v>
      </c>
      <c r="C10" s="15" t="s">
        <v>127</v>
      </c>
      <c r="D10" s="15" t="s">
        <v>26</v>
      </c>
      <c r="E10" s="58" t="s">
        <v>128</v>
      </c>
      <c r="F10" s="39" t="s">
        <v>87</v>
      </c>
      <c r="G10" s="39" t="s">
        <v>88</v>
      </c>
      <c r="H10" s="35">
        <f>I10*80.5%</f>
        <v>99.340220000000002</v>
      </c>
      <c r="I10" s="65">
        <v>123.404</v>
      </c>
      <c r="J10" s="13"/>
      <c r="K10" s="4"/>
    </row>
    <row r="11" spans="1:11" x14ac:dyDescent="0.35">
      <c r="A11" s="18"/>
      <c r="B11" s="17">
        <v>18.317</v>
      </c>
      <c r="C11" s="15" t="s">
        <v>134</v>
      </c>
      <c r="D11" s="15" t="s">
        <v>26</v>
      </c>
      <c r="E11" s="58" t="s">
        <v>136</v>
      </c>
      <c r="F11" s="39" t="s">
        <v>80</v>
      </c>
      <c r="G11" s="39" t="s">
        <v>88</v>
      </c>
      <c r="H11" s="35">
        <f>I11*81%</f>
        <v>10.918800000000001</v>
      </c>
      <c r="I11" s="65">
        <v>13.48</v>
      </c>
      <c r="J11" s="13"/>
      <c r="K11" s="4"/>
    </row>
    <row r="12" spans="1:11" x14ac:dyDescent="0.35">
      <c r="A12" s="18"/>
      <c r="B12" s="17">
        <v>2.6890000000000001</v>
      </c>
      <c r="C12" s="15" t="s">
        <v>140</v>
      </c>
      <c r="D12" s="15" t="s">
        <v>26</v>
      </c>
      <c r="E12" s="58" t="s">
        <v>155</v>
      </c>
      <c r="F12" s="39" t="s">
        <v>97</v>
      </c>
      <c r="G12" s="39" t="s">
        <v>98</v>
      </c>
      <c r="H12" s="35">
        <f>I12*80.5%</f>
        <v>24.792390000000001</v>
      </c>
      <c r="I12" s="65">
        <v>30.797999999999998</v>
      </c>
      <c r="J12" s="13"/>
      <c r="K12" s="4"/>
    </row>
    <row r="13" spans="1:11" x14ac:dyDescent="0.35">
      <c r="A13" s="18"/>
      <c r="B13" s="17">
        <v>300</v>
      </c>
      <c r="C13" s="15" t="s">
        <v>165</v>
      </c>
      <c r="D13" s="15" t="s">
        <v>26</v>
      </c>
      <c r="E13" s="58" t="s">
        <v>164</v>
      </c>
      <c r="F13" s="39" t="s">
        <v>129</v>
      </c>
      <c r="G13" s="39" t="s">
        <v>130</v>
      </c>
      <c r="H13" s="35">
        <f>I13*80.5%</f>
        <v>307.30392000000006</v>
      </c>
      <c r="I13" s="65">
        <v>381.74400000000003</v>
      </c>
      <c r="J13" s="13"/>
      <c r="K13" s="4"/>
    </row>
    <row r="14" spans="1:11" x14ac:dyDescent="0.35">
      <c r="A14" s="18"/>
      <c r="B14" s="17"/>
      <c r="C14" s="15"/>
      <c r="D14" s="15"/>
      <c r="E14" s="58"/>
      <c r="F14" s="39" t="s">
        <v>80</v>
      </c>
      <c r="G14" s="39" t="s">
        <v>130</v>
      </c>
      <c r="H14" s="35">
        <f>I14*83%</f>
        <v>16.276299999999999</v>
      </c>
      <c r="I14" s="65">
        <f>19.61</f>
        <v>19.61</v>
      </c>
      <c r="J14" s="13"/>
      <c r="K14" s="4"/>
    </row>
    <row r="15" spans="1:11" x14ac:dyDescent="0.35">
      <c r="A15" s="18"/>
      <c r="B15" s="17"/>
      <c r="C15" s="15"/>
      <c r="D15" s="15"/>
      <c r="E15" s="58"/>
      <c r="F15" s="39" t="s">
        <v>80</v>
      </c>
      <c r="G15" s="39" t="s">
        <v>130</v>
      </c>
      <c r="H15" s="35">
        <f>I15*80%</f>
        <v>8.2319999999999993</v>
      </c>
      <c r="I15" s="65">
        <v>10.29</v>
      </c>
      <c r="J15" s="13"/>
      <c r="K15" s="4"/>
    </row>
    <row r="16" spans="1:11" x14ac:dyDescent="0.35">
      <c r="A16" s="18"/>
      <c r="B16" s="17"/>
      <c r="C16" s="15"/>
      <c r="D16" s="15"/>
      <c r="E16" s="58"/>
      <c r="F16" s="39" t="s">
        <v>137</v>
      </c>
      <c r="G16" s="39" t="s">
        <v>138</v>
      </c>
      <c r="H16" s="35">
        <f>I16*80.5%</f>
        <v>18.316970000000001</v>
      </c>
      <c r="I16" s="65">
        <v>22.754000000000001</v>
      </c>
      <c r="J16" s="13"/>
      <c r="K16" s="4"/>
    </row>
    <row r="17" spans="1:14" x14ac:dyDescent="0.35">
      <c r="A17" s="18"/>
      <c r="B17" s="17"/>
      <c r="C17" s="15"/>
      <c r="D17" s="15"/>
      <c r="E17" s="58"/>
      <c r="F17" s="39" t="s">
        <v>156</v>
      </c>
      <c r="G17" s="39" t="s">
        <v>157</v>
      </c>
      <c r="H17" s="35">
        <f>I17*80.5%</f>
        <v>2.6886999999999999</v>
      </c>
      <c r="I17" s="65">
        <v>3.34</v>
      </c>
      <c r="J17" s="13"/>
      <c r="K17" s="4"/>
    </row>
    <row r="18" spans="1:14" x14ac:dyDescent="0.35">
      <c r="A18" s="18"/>
      <c r="B18" s="17"/>
      <c r="C18" s="15"/>
      <c r="D18" s="15"/>
      <c r="E18" s="58"/>
      <c r="F18" s="39"/>
      <c r="G18" s="39"/>
      <c r="H18" s="36"/>
      <c r="I18" s="65"/>
      <c r="J18" s="13"/>
      <c r="K18" s="4"/>
    </row>
    <row r="19" spans="1:14" x14ac:dyDescent="0.35">
      <c r="A19" s="18"/>
      <c r="B19" s="17"/>
      <c r="C19" s="15"/>
      <c r="D19" s="15"/>
      <c r="E19" s="58"/>
      <c r="F19" s="39"/>
      <c r="G19" s="39"/>
      <c r="H19" s="36"/>
      <c r="I19" s="65"/>
      <c r="J19" s="13"/>
      <c r="K19" s="4"/>
    </row>
    <row r="20" spans="1:14" x14ac:dyDescent="0.35">
      <c r="A20" s="18"/>
      <c r="B20" s="17"/>
      <c r="C20" s="15"/>
      <c r="D20" s="15"/>
      <c r="E20" s="58"/>
      <c r="F20" s="39"/>
      <c r="G20" s="39"/>
      <c r="H20" s="36"/>
      <c r="I20" s="65"/>
      <c r="J20" s="13"/>
      <c r="K20" s="4"/>
    </row>
    <row r="21" spans="1:14" ht="15" thickBot="1" x14ac:dyDescent="0.4">
      <c r="B21" s="10"/>
      <c r="C21" s="11"/>
      <c r="D21" s="11"/>
      <c r="E21" s="53"/>
      <c r="F21" s="51"/>
      <c r="G21" s="51"/>
      <c r="H21" s="34"/>
      <c r="I21" s="52"/>
      <c r="J21" s="52"/>
      <c r="K21" s="12"/>
      <c r="N21" s="18"/>
    </row>
    <row r="22" spans="1:14" ht="15" thickBot="1" x14ac:dyDescent="0.4">
      <c r="B22" s="21">
        <f>SUM(B4:B21)</f>
        <v>1080.44</v>
      </c>
      <c r="C22" s="6"/>
      <c r="D22" s="6"/>
      <c r="E22" s="49"/>
      <c r="F22" s="29"/>
      <c r="G22" s="29"/>
      <c r="H22" s="23">
        <f>SUM(H4:H21)</f>
        <v>780.43990000000008</v>
      </c>
      <c r="I22" s="23">
        <f>SUM(I4:I21)</f>
        <v>968.69</v>
      </c>
      <c r="J22" s="30">
        <f>B22-H22</f>
        <v>300.00009999999997</v>
      </c>
      <c r="K22" s="30">
        <f>J22/76%</f>
        <v>394.73697368421051</v>
      </c>
    </row>
    <row r="25" spans="1:14" x14ac:dyDescent="0.35">
      <c r="L25" s="18"/>
    </row>
  </sheetData>
  <mergeCells count="3">
    <mergeCell ref="B2:E2"/>
    <mergeCell ref="F2:I2"/>
    <mergeCell ref="J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D9F1E-7309-451C-B5E1-5F53B5A17C10}">
  <dimension ref="A1:N24"/>
  <sheetViews>
    <sheetView topLeftCell="A10" workbookViewId="0">
      <selection activeCell="J15" sqref="J15"/>
    </sheetView>
  </sheetViews>
  <sheetFormatPr defaultRowHeight="14.5" x14ac:dyDescent="0.35"/>
  <cols>
    <col min="2" max="2" width="10.90625" bestFit="1" customWidth="1"/>
    <col min="4" max="4" width="12.453125" bestFit="1" customWidth="1"/>
    <col min="5" max="5" width="16.54296875" bestFit="1" customWidth="1"/>
    <col min="6" max="6" width="29" bestFit="1" customWidth="1"/>
    <col min="7" max="7" width="11.453125" customWidth="1"/>
    <col min="8" max="8" width="13" customWidth="1"/>
    <col min="9" max="9" width="21.08984375" customWidth="1"/>
    <col min="10" max="11" width="11.90625" bestFit="1" customWidth="1"/>
  </cols>
  <sheetData>
    <row r="1" spans="1:11" ht="15" thickBot="1" x14ac:dyDescent="0.4"/>
    <row r="2" spans="1:11" ht="15" thickBot="1" x14ac:dyDescent="0.4">
      <c r="B2" s="90" t="s">
        <v>8</v>
      </c>
      <c r="C2" s="91"/>
      <c r="D2" s="91"/>
      <c r="E2" s="92"/>
      <c r="F2" s="90" t="s">
        <v>11</v>
      </c>
      <c r="G2" s="91"/>
      <c r="H2" s="91"/>
      <c r="I2" s="92"/>
      <c r="J2" s="90" t="s">
        <v>7</v>
      </c>
      <c r="K2" s="92"/>
    </row>
    <row r="3" spans="1:11" ht="15" thickBot="1" x14ac:dyDescent="0.4">
      <c r="B3" s="5" t="s">
        <v>2</v>
      </c>
      <c r="C3" s="6" t="s">
        <v>0</v>
      </c>
      <c r="D3" s="6" t="s">
        <v>1</v>
      </c>
      <c r="E3" s="9" t="s">
        <v>6</v>
      </c>
      <c r="F3" s="25" t="s">
        <v>9</v>
      </c>
      <c r="G3" s="26" t="s">
        <v>0</v>
      </c>
      <c r="H3" s="24" t="s">
        <v>10</v>
      </c>
      <c r="I3" s="27" t="s">
        <v>12</v>
      </c>
      <c r="J3" s="77" t="s">
        <v>4</v>
      </c>
      <c r="K3" s="28" t="s">
        <v>13</v>
      </c>
    </row>
    <row r="4" spans="1:11" x14ac:dyDescent="0.35">
      <c r="A4" s="18"/>
      <c r="B4" s="17">
        <v>12.757999999999999</v>
      </c>
      <c r="C4" s="15" t="s">
        <v>32</v>
      </c>
      <c r="D4" s="15" t="s">
        <v>28</v>
      </c>
      <c r="E4" s="58" t="s">
        <v>31</v>
      </c>
      <c r="F4" s="47" t="s">
        <v>44</v>
      </c>
      <c r="G4" s="47" t="s">
        <v>43</v>
      </c>
      <c r="H4" s="80">
        <f>I4*83%</f>
        <v>8.4112200000000001</v>
      </c>
      <c r="I4" s="63">
        <v>10.134</v>
      </c>
      <c r="J4" s="31"/>
      <c r="K4" s="32"/>
    </row>
    <row r="5" spans="1:11" x14ac:dyDescent="0.35">
      <c r="A5" s="18"/>
      <c r="B5" s="17">
        <v>59.213999999999999</v>
      </c>
      <c r="C5" s="15" t="s">
        <v>41</v>
      </c>
      <c r="D5" s="15" t="s">
        <v>28</v>
      </c>
      <c r="E5" s="58" t="s">
        <v>35</v>
      </c>
      <c r="F5" s="38" t="s">
        <v>47</v>
      </c>
      <c r="G5" s="38" t="s">
        <v>43</v>
      </c>
      <c r="H5" s="35">
        <f>I5*84%</f>
        <v>0.67200000000000004</v>
      </c>
      <c r="I5" s="61">
        <v>0.8</v>
      </c>
      <c r="J5" s="50"/>
      <c r="K5" s="3"/>
    </row>
    <row r="6" spans="1:11" x14ac:dyDescent="0.35">
      <c r="A6" s="18"/>
      <c r="B6" s="17">
        <v>11.95</v>
      </c>
      <c r="C6" s="15" t="s">
        <v>68</v>
      </c>
      <c r="D6" s="15" t="s">
        <v>28</v>
      </c>
      <c r="E6" s="58" t="s">
        <v>69</v>
      </c>
      <c r="F6" s="38" t="s">
        <v>46</v>
      </c>
      <c r="G6" s="38" t="s">
        <v>43</v>
      </c>
      <c r="H6" s="35">
        <f>I6*98%</f>
        <v>3.6749999999999998</v>
      </c>
      <c r="I6" s="65">
        <v>3.75</v>
      </c>
      <c r="J6" s="13"/>
      <c r="K6" s="4"/>
    </row>
    <row r="7" spans="1:11" x14ac:dyDescent="0.35">
      <c r="A7" s="18"/>
      <c r="B7" s="17">
        <v>20.373000000000001</v>
      </c>
      <c r="C7" s="15" t="s">
        <v>99</v>
      </c>
      <c r="D7" s="15" t="s">
        <v>28</v>
      </c>
      <c r="E7" s="58" t="s">
        <v>108</v>
      </c>
      <c r="F7" s="39" t="s">
        <v>45</v>
      </c>
      <c r="G7" s="38" t="s">
        <v>66</v>
      </c>
      <c r="H7" s="35">
        <f>I7*82%</f>
        <v>59.213839999999998</v>
      </c>
      <c r="I7" s="65">
        <v>72.212000000000003</v>
      </c>
      <c r="J7" s="13"/>
      <c r="K7" s="4"/>
    </row>
    <row r="8" spans="1:11" x14ac:dyDescent="0.35">
      <c r="A8" s="18"/>
      <c r="B8" s="17">
        <v>10.91</v>
      </c>
      <c r="C8" s="15" t="s">
        <v>131</v>
      </c>
      <c r="D8" s="15" t="s">
        <v>28</v>
      </c>
      <c r="E8" s="58" t="s">
        <v>132</v>
      </c>
      <c r="F8" s="39" t="s">
        <v>64</v>
      </c>
      <c r="G8" s="38" t="s">
        <v>65</v>
      </c>
      <c r="H8" s="35">
        <f>I8*85%</f>
        <v>2.1266999999999996</v>
      </c>
      <c r="I8" s="65">
        <v>2.5019999999999998</v>
      </c>
      <c r="J8" s="13"/>
      <c r="K8" s="4"/>
    </row>
    <row r="9" spans="1:11" x14ac:dyDescent="0.35">
      <c r="A9" s="18"/>
      <c r="B9" s="17">
        <v>18.818000000000001</v>
      </c>
      <c r="C9" s="15" t="s">
        <v>140</v>
      </c>
      <c r="D9" s="15" t="s">
        <v>28</v>
      </c>
      <c r="E9" s="58" t="s">
        <v>139</v>
      </c>
      <c r="F9" s="39" t="s">
        <v>67</v>
      </c>
      <c r="G9" s="38" t="s">
        <v>65</v>
      </c>
      <c r="H9" s="35">
        <f>I9*82%</f>
        <v>9.823599999999999</v>
      </c>
      <c r="I9" s="65">
        <v>11.98</v>
      </c>
      <c r="J9" s="13"/>
      <c r="K9" s="4"/>
    </row>
    <row r="10" spans="1:11" x14ac:dyDescent="0.35">
      <c r="A10" s="18"/>
      <c r="B10" s="17">
        <v>29.954999999999998</v>
      </c>
      <c r="C10" s="15" t="s">
        <v>138</v>
      </c>
      <c r="D10" s="15" t="s">
        <v>28</v>
      </c>
      <c r="E10" s="58" t="s">
        <v>149</v>
      </c>
      <c r="F10" s="39" t="s">
        <v>110</v>
      </c>
      <c r="G10" s="39" t="s">
        <v>109</v>
      </c>
      <c r="H10" s="35">
        <f>I10*92%</f>
        <v>7.7280000000000006</v>
      </c>
      <c r="I10" s="65">
        <v>8.4</v>
      </c>
      <c r="J10" s="13"/>
      <c r="K10" s="4"/>
    </row>
    <row r="11" spans="1:11" x14ac:dyDescent="0.35">
      <c r="A11" s="18"/>
      <c r="B11" s="17">
        <v>53.152000000000001</v>
      </c>
      <c r="C11" s="15" t="s">
        <v>158</v>
      </c>
      <c r="D11" s="15" t="s">
        <v>28</v>
      </c>
      <c r="E11" s="58" t="s">
        <v>166</v>
      </c>
      <c r="F11" s="39" t="s">
        <v>67</v>
      </c>
      <c r="G11" s="39" t="s">
        <v>109</v>
      </c>
      <c r="H11" s="35">
        <f>I11*86%</f>
        <v>12.645440000000001</v>
      </c>
      <c r="I11" s="65">
        <v>14.704000000000001</v>
      </c>
      <c r="J11" s="13"/>
      <c r="K11" s="4"/>
    </row>
    <row r="12" spans="1:11" x14ac:dyDescent="0.35">
      <c r="A12" s="18"/>
      <c r="B12" s="17">
        <v>16.626999999999999</v>
      </c>
      <c r="C12" s="15" t="s">
        <v>173</v>
      </c>
      <c r="D12" s="15" t="s">
        <v>28</v>
      </c>
      <c r="E12" s="58" t="s">
        <v>174</v>
      </c>
      <c r="F12" s="39" t="s">
        <v>133</v>
      </c>
      <c r="G12" s="39" t="s">
        <v>141</v>
      </c>
      <c r="H12" s="35">
        <f>I12*84%</f>
        <v>10.93008</v>
      </c>
      <c r="I12" s="65">
        <v>13.012</v>
      </c>
      <c r="J12" s="13"/>
      <c r="K12" s="4"/>
    </row>
    <row r="13" spans="1:11" x14ac:dyDescent="0.35">
      <c r="A13" s="18"/>
      <c r="B13" s="17"/>
      <c r="C13" s="15"/>
      <c r="D13" s="15"/>
      <c r="E13" s="58"/>
      <c r="F13" s="39" t="s">
        <v>142</v>
      </c>
      <c r="G13" s="39" t="s">
        <v>141</v>
      </c>
      <c r="H13" s="36">
        <f>I13*88.4%</f>
        <v>18.797376</v>
      </c>
      <c r="I13" s="65">
        <v>21.263999999999999</v>
      </c>
      <c r="J13" s="13"/>
      <c r="K13" s="4"/>
    </row>
    <row r="14" spans="1:11" x14ac:dyDescent="0.35">
      <c r="A14" s="18"/>
      <c r="B14" s="17"/>
      <c r="C14" s="15"/>
      <c r="D14" s="15"/>
      <c r="E14" s="58"/>
      <c r="F14" s="39" t="s">
        <v>150</v>
      </c>
      <c r="G14" s="39" t="s">
        <v>147</v>
      </c>
      <c r="H14" s="36">
        <f>I14*92%</f>
        <v>29.955200000000005</v>
      </c>
      <c r="I14" s="65">
        <v>32.56</v>
      </c>
      <c r="J14" s="13"/>
      <c r="K14" s="4"/>
    </row>
    <row r="15" spans="1:11" x14ac:dyDescent="0.35">
      <c r="A15" s="18"/>
      <c r="B15" s="17"/>
      <c r="C15" s="15"/>
      <c r="D15" s="15"/>
      <c r="E15" s="58"/>
      <c r="F15" s="39" t="s">
        <v>167</v>
      </c>
      <c r="G15" s="39" t="s">
        <v>168</v>
      </c>
      <c r="H15" s="36">
        <f>I15*82%</f>
        <v>0.54120000000000001</v>
      </c>
      <c r="I15" s="65">
        <v>0.66</v>
      </c>
      <c r="J15" s="13"/>
      <c r="K15" s="4"/>
    </row>
    <row r="16" spans="1:11" x14ac:dyDescent="0.35">
      <c r="A16" s="18"/>
      <c r="B16" s="17"/>
      <c r="C16" s="15"/>
      <c r="D16" s="15"/>
      <c r="E16" s="58"/>
      <c r="F16" s="39" t="s">
        <v>61</v>
      </c>
      <c r="G16" s="39" t="s">
        <v>168</v>
      </c>
      <c r="H16" s="36">
        <f>I16*98%</f>
        <v>52.610319999999994</v>
      </c>
      <c r="I16" s="65">
        <v>53.683999999999997</v>
      </c>
      <c r="J16" s="13"/>
      <c r="K16" s="4"/>
    </row>
    <row r="17" spans="1:14" x14ac:dyDescent="0.35">
      <c r="A17" s="18"/>
      <c r="B17" s="17"/>
      <c r="C17" s="15"/>
      <c r="D17" s="15"/>
      <c r="E17" s="58"/>
      <c r="F17" s="39" t="s">
        <v>176</v>
      </c>
      <c r="G17" s="39" t="s">
        <v>175</v>
      </c>
      <c r="H17" s="36">
        <f>I17*95%</f>
        <v>6.9008000000000003</v>
      </c>
      <c r="I17" s="65">
        <v>7.2640000000000002</v>
      </c>
      <c r="J17" s="13"/>
      <c r="K17" s="4"/>
    </row>
    <row r="18" spans="1:14" x14ac:dyDescent="0.35">
      <c r="A18" s="18"/>
      <c r="B18" s="17"/>
      <c r="C18" s="15"/>
      <c r="D18" s="15"/>
      <c r="E18" s="58"/>
      <c r="F18" s="39" t="s">
        <v>177</v>
      </c>
      <c r="G18" s="39" t="s">
        <v>175</v>
      </c>
      <c r="H18" s="36">
        <f>I18*81%</f>
        <v>9.7264800000000005</v>
      </c>
      <c r="I18" s="65">
        <v>12.007999999999999</v>
      </c>
      <c r="J18" s="13"/>
      <c r="K18" s="4"/>
    </row>
    <row r="19" spans="1:14" x14ac:dyDescent="0.35">
      <c r="A19" s="18"/>
      <c r="B19" s="17"/>
      <c r="C19" s="15"/>
      <c r="D19" s="15"/>
      <c r="E19" s="58"/>
      <c r="F19" s="39"/>
      <c r="G19" s="39"/>
      <c r="H19" s="36"/>
      <c r="I19" s="65"/>
      <c r="J19" s="13"/>
      <c r="K19" s="4"/>
    </row>
    <row r="20" spans="1:14" ht="15" thickBot="1" x14ac:dyDescent="0.4">
      <c r="B20" s="10"/>
      <c r="C20" s="11"/>
      <c r="D20" s="11"/>
      <c r="E20" s="53"/>
      <c r="F20" s="51"/>
      <c r="G20" s="51"/>
      <c r="H20" s="34"/>
      <c r="I20" s="52"/>
      <c r="J20" s="52"/>
      <c r="K20" s="12"/>
      <c r="N20" s="18"/>
    </row>
    <row r="21" spans="1:14" ht="15" thickBot="1" x14ac:dyDescent="0.4">
      <c r="B21" s="21">
        <f>SUM(B4:B20)</f>
        <v>233.75700000000001</v>
      </c>
      <c r="C21" s="6"/>
      <c r="D21" s="6"/>
      <c r="E21" s="49"/>
      <c r="F21" s="29"/>
      <c r="G21" s="29"/>
      <c r="H21" s="23">
        <f>SUM(H4:H20)</f>
        <v>233.75725600000001</v>
      </c>
      <c r="I21" s="23">
        <f>SUM(I4:I20)</f>
        <v>264.93400000000003</v>
      </c>
      <c r="J21" s="30">
        <f>B21-H21</f>
        <v>-2.5600000000736145E-4</v>
      </c>
      <c r="K21" s="30">
        <f>J21/76%</f>
        <v>-3.36842105272844E-4</v>
      </c>
    </row>
    <row r="24" spans="1:14" x14ac:dyDescent="0.35">
      <c r="L24" s="18"/>
    </row>
  </sheetData>
  <mergeCells count="3">
    <mergeCell ref="B2:E2"/>
    <mergeCell ref="F2:I2"/>
    <mergeCell ref="J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82"/>
  <sheetViews>
    <sheetView tabSelected="1" zoomScaleNormal="100" workbookViewId="0">
      <selection activeCell="M3" sqref="M3"/>
    </sheetView>
  </sheetViews>
  <sheetFormatPr defaultRowHeight="14.5" x14ac:dyDescent="0.35"/>
  <cols>
    <col min="2" max="2" width="13.90625" bestFit="1" customWidth="1"/>
    <col min="4" max="4" width="10.90625" bestFit="1" customWidth="1"/>
    <col min="5" max="5" width="18.36328125" bestFit="1" customWidth="1"/>
    <col min="7" max="7" width="9.54296875" bestFit="1" customWidth="1"/>
    <col min="8" max="8" width="18.08984375" bestFit="1" customWidth="1"/>
    <col min="9" max="9" width="17.54296875" customWidth="1"/>
    <col min="10" max="10" width="11.90625" bestFit="1" customWidth="1"/>
    <col min="13" max="13" width="9.54296875" bestFit="1" customWidth="1"/>
  </cols>
  <sheetData>
    <row r="1" spans="1:13" ht="15" thickBot="1" x14ac:dyDescent="0.4"/>
    <row r="2" spans="1:13" ht="15" thickBot="1" x14ac:dyDescent="0.4">
      <c r="A2" s="88">
        <v>1</v>
      </c>
      <c r="B2" s="90" t="s">
        <v>15</v>
      </c>
      <c r="C2" s="91"/>
      <c r="D2" s="91"/>
      <c r="E2" s="92"/>
      <c r="F2" s="91"/>
      <c r="G2" s="91"/>
      <c r="H2" s="91"/>
      <c r="I2" s="92"/>
      <c r="J2" s="72" t="s">
        <v>7</v>
      </c>
    </row>
    <row r="3" spans="1:13" ht="15" thickBot="1" x14ac:dyDescent="0.4">
      <c r="A3" s="88"/>
      <c r="B3" s="24" t="s">
        <v>16</v>
      </c>
      <c r="C3" s="27" t="s">
        <v>0</v>
      </c>
      <c r="D3" s="27" t="s">
        <v>17</v>
      </c>
      <c r="E3" s="28" t="s">
        <v>6</v>
      </c>
      <c r="F3" s="27" t="s">
        <v>0</v>
      </c>
      <c r="G3" s="24" t="s">
        <v>2</v>
      </c>
      <c r="H3" s="27" t="s">
        <v>1</v>
      </c>
      <c r="I3" s="28" t="s">
        <v>6</v>
      </c>
      <c r="J3" s="25" t="s">
        <v>4</v>
      </c>
    </row>
    <row r="4" spans="1:13" x14ac:dyDescent="0.35">
      <c r="A4" s="89"/>
      <c r="B4" s="69" t="s">
        <v>14</v>
      </c>
      <c r="C4" s="59" t="s">
        <v>32</v>
      </c>
      <c r="D4" s="57">
        <v>215.721</v>
      </c>
      <c r="E4" s="67" t="s">
        <v>14</v>
      </c>
      <c r="F4" s="82" t="s">
        <v>32</v>
      </c>
      <c r="G4" s="48">
        <v>130.27799999999999</v>
      </c>
      <c r="H4" s="59" t="s">
        <v>25</v>
      </c>
      <c r="I4" s="32" t="s">
        <v>30</v>
      </c>
      <c r="J4" s="83">
        <v>999</v>
      </c>
    </row>
    <row r="5" spans="1:13" x14ac:dyDescent="0.35">
      <c r="A5" s="89"/>
      <c r="B5" s="70"/>
      <c r="C5" s="15" t="s">
        <v>33</v>
      </c>
      <c r="D5" s="16">
        <v>55.295999999999999</v>
      </c>
      <c r="E5" s="85" t="s">
        <v>34</v>
      </c>
      <c r="F5" s="81" t="s">
        <v>32</v>
      </c>
      <c r="G5" s="17">
        <v>12.757999999999999</v>
      </c>
      <c r="H5" s="15" t="s">
        <v>29</v>
      </c>
      <c r="I5" s="3" t="s">
        <v>31</v>
      </c>
      <c r="J5" s="33">
        <v>999</v>
      </c>
    </row>
    <row r="6" spans="1:13" x14ac:dyDescent="0.35">
      <c r="A6" s="89"/>
      <c r="B6" s="79"/>
      <c r="C6" s="15" t="s">
        <v>38</v>
      </c>
      <c r="D6" s="16">
        <v>100</v>
      </c>
      <c r="E6" s="85" t="s">
        <v>39</v>
      </c>
      <c r="F6" s="81" t="s">
        <v>33</v>
      </c>
      <c r="G6" s="17">
        <v>18.422999999999998</v>
      </c>
      <c r="H6" s="15" t="s">
        <v>21</v>
      </c>
      <c r="I6" s="3" t="s">
        <v>35</v>
      </c>
      <c r="J6" s="33">
        <v>999</v>
      </c>
      <c r="M6" s="84"/>
    </row>
    <row r="7" spans="1:13" x14ac:dyDescent="0.35">
      <c r="A7" s="89"/>
      <c r="B7" s="79"/>
      <c r="C7" s="15" t="s">
        <v>48</v>
      </c>
      <c r="D7" s="16">
        <v>100</v>
      </c>
      <c r="E7" s="85" t="s">
        <v>49</v>
      </c>
      <c r="F7" s="81" t="s">
        <v>41</v>
      </c>
      <c r="G7" s="17">
        <v>59.213999999999999</v>
      </c>
      <c r="H7" s="15" t="s">
        <v>29</v>
      </c>
      <c r="I7" s="3" t="s">
        <v>42</v>
      </c>
      <c r="J7" s="33">
        <v>999</v>
      </c>
    </row>
    <row r="8" spans="1:13" x14ac:dyDescent="0.35">
      <c r="A8" s="89"/>
      <c r="B8" s="79"/>
      <c r="C8" s="15" t="s">
        <v>59</v>
      </c>
      <c r="D8" s="16">
        <v>100</v>
      </c>
      <c r="E8" s="85" t="s">
        <v>60</v>
      </c>
      <c r="F8" s="81" t="s">
        <v>57</v>
      </c>
      <c r="G8" s="17">
        <v>59.694000000000003</v>
      </c>
      <c r="H8" s="15" t="s">
        <v>25</v>
      </c>
      <c r="I8" s="3" t="s">
        <v>51</v>
      </c>
      <c r="J8" s="33">
        <v>999</v>
      </c>
    </row>
    <row r="9" spans="1:13" x14ac:dyDescent="0.35">
      <c r="A9" s="89"/>
      <c r="B9" s="79"/>
      <c r="C9" s="15" t="s">
        <v>73</v>
      </c>
      <c r="D9" s="16">
        <v>30</v>
      </c>
      <c r="E9" s="85" t="s">
        <v>74</v>
      </c>
      <c r="F9" s="81" t="s">
        <v>56</v>
      </c>
      <c r="G9" s="17">
        <v>18.25</v>
      </c>
      <c r="H9" s="15" t="s">
        <v>40</v>
      </c>
      <c r="I9" s="3" t="s">
        <v>54</v>
      </c>
      <c r="J9" s="33">
        <v>999</v>
      </c>
    </row>
    <row r="10" spans="1:13" x14ac:dyDescent="0.35">
      <c r="A10" s="89"/>
      <c r="B10" s="86"/>
      <c r="C10" s="15"/>
      <c r="D10" s="16"/>
      <c r="E10" s="85"/>
      <c r="F10" s="81" t="s">
        <v>48</v>
      </c>
      <c r="G10" s="17">
        <v>40.853999999999999</v>
      </c>
      <c r="H10" s="15" t="s">
        <v>40</v>
      </c>
      <c r="I10" s="3" t="s">
        <v>62</v>
      </c>
      <c r="J10" s="33">
        <v>999</v>
      </c>
    </row>
    <row r="11" spans="1:13" x14ac:dyDescent="0.35">
      <c r="A11" s="89"/>
      <c r="B11" s="79"/>
      <c r="C11" s="15"/>
      <c r="D11" s="16"/>
      <c r="E11" s="85"/>
      <c r="F11" s="81" t="s">
        <v>68</v>
      </c>
      <c r="G11" s="17">
        <v>11.95</v>
      </c>
      <c r="H11" s="15" t="s">
        <v>29</v>
      </c>
      <c r="I11" s="3" t="s">
        <v>69</v>
      </c>
      <c r="J11" s="33">
        <v>999</v>
      </c>
    </row>
    <row r="12" spans="1:13" x14ac:dyDescent="0.35">
      <c r="A12" s="89"/>
      <c r="B12" s="79"/>
      <c r="C12" s="15"/>
      <c r="D12" s="16"/>
      <c r="E12" s="85"/>
      <c r="F12" s="81" t="s">
        <v>71</v>
      </c>
      <c r="G12" s="17">
        <v>55.488999999999997</v>
      </c>
      <c r="H12" s="15" t="s">
        <v>25</v>
      </c>
      <c r="I12" s="3" t="s">
        <v>72</v>
      </c>
      <c r="J12" s="33">
        <v>999</v>
      </c>
    </row>
    <row r="13" spans="1:13" x14ac:dyDescent="0.35">
      <c r="A13" s="89"/>
      <c r="B13" s="79"/>
      <c r="C13" s="15"/>
      <c r="D13" s="16"/>
      <c r="E13" s="85"/>
      <c r="F13" s="81" t="s">
        <v>73</v>
      </c>
      <c r="G13" s="17">
        <v>22.050999999999998</v>
      </c>
      <c r="H13" s="15" t="s">
        <v>21</v>
      </c>
      <c r="I13" s="3" t="s">
        <v>75</v>
      </c>
      <c r="J13" s="40">
        <v>999</v>
      </c>
    </row>
    <row r="14" spans="1:13" x14ac:dyDescent="0.35">
      <c r="A14" s="89"/>
      <c r="B14" s="79"/>
      <c r="C14" s="15"/>
      <c r="D14" s="16"/>
      <c r="E14" s="85"/>
      <c r="F14" s="81"/>
      <c r="G14" s="14"/>
      <c r="H14" s="15"/>
      <c r="I14" s="3"/>
      <c r="J14" s="33"/>
    </row>
    <row r="15" spans="1:13" ht="15" thickBot="1" x14ac:dyDescent="0.4">
      <c r="A15" s="89"/>
      <c r="B15" s="10"/>
      <c r="C15" s="11"/>
      <c r="D15" s="11"/>
      <c r="E15" s="12"/>
      <c r="F15" s="51"/>
      <c r="G15" s="71"/>
      <c r="H15" s="11"/>
      <c r="I15" s="12"/>
      <c r="J15" s="34"/>
    </row>
    <row r="16" spans="1:13" ht="15" thickBot="1" x14ac:dyDescent="0.4">
      <c r="A16" s="88"/>
      <c r="B16" s="5"/>
      <c r="C16" s="6"/>
      <c r="D16" s="7">
        <f>SUM(D4:D15)</f>
        <v>601.01700000000005</v>
      </c>
      <c r="E16" s="49"/>
      <c r="F16" s="45"/>
      <c r="G16" s="21">
        <f>SUM(G4:G15)</f>
        <v>428.96099999999996</v>
      </c>
      <c r="H16" s="6"/>
      <c r="I16" s="49"/>
      <c r="J16" s="30">
        <f>D16-G16</f>
        <v>172.0560000000001</v>
      </c>
    </row>
    <row r="17" spans="1:10" ht="15" thickBot="1" x14ac:dyDescent="0.4"/>
    <row r="18" spans="1:10" ht="15" thickBot="1" x14ac:dyDescent="0.4">
      <c r="A18" s="88">
        <v>2</v>
      </c>
      <c r="B18" s="90" t="s">
        <v>15</v>
      </c>
      <c r="C18" s="91"/>
      <c r="D18" s="91"/>
      <c r="E18" s="92"/>
      <c r="F18" s="91"/>
      <c r="G18" s="91"/>
      <c r="H18" s="91"/>
      <c r="I18" s="92"/>
      <c r="J18" s="72" t="s">
        <v>7</v>
      </c>
    </row>
    <row r="19" spans="1:10" ht="15" thickBot="1" x14ac:dyDescent="0.4">
      <c r="A19" s="88"/>
      <c r="B19" s="24" t="s">
        <v>16</v>
      </c>
      <c r="C19" s="27" t="s">
        <v>0</v>
      </c>
      <c r="D19" s="27" t="s">
        <v>17</v>
      </c>
      <c r="E19" s="28" t="s">
        <v>6</v>
      </c>
      <c r="F19" s="27" t="s">
        <v>0</v>
      </c>
      <c r="G19" s="24" t="s">
        <v>2</v>
      </c>
      <c r="H19" s="27" t="s">
        <v>1</v>
      </c>
      <c r="I19" s="28" t="s">
        <v>6</v>
      </c>
      <c r="J19" s="25" t="s">
        <v>4</v>
      </c>
    </row>
    <row r="20" spans="1:10" x14ac:dyDescent="0.35">
      <c r="A20" s="89"/>
      <c r="B20" s="69" t="s">
        <v>14</v>
      </c>
      <c r="C20" s="59" t="s">
        <v>81</v>
      </c>
      <c r="D20" s="57">
        <v>172.05600000000001</v>
      </c>
      <c r="E20" s="67" t="s">
        <v>14</v>
      </c>
      <c r="F20" s="82" t="s">
        <v>81</v>
      </c>
      <c r="G20" s="48">
        <v>47.11</v>
      </c>
      <c r="H20" s="59" t="s">
        <v>25</v>
      </c>
      <c r="I20" s="32" t="s">
        <v>79</v>
      </c>
      <c r="J20" s="83">
        <v>999</v>
      </c>
    </row>
    <row r="21" spans="1:10" x14ac:dyDescent="0.35">
      <c r="A21" s="89"/>
      <c r="B21" s="70"/>
      <c r="C21" s="15" t="s">
        <v>82</v>
      </c>
      <c r="D21" s="16">
        <v>100</v>
      </c>
      <c r="E21" s="85" t="s">
        <v>78</v>
      </c>
      <c r="F21" s="81" t="s">
        <v>85</v>
      </c>
      <c r="G21" s="17">
        <v>110.259</v>
      </c>
      <c r="H21" s="15" t="s">
        <v>25</v>
      </c>
      <c r="I21" s="3" t="s">
        <v>86</v>
      </c>
      <c r="J21" s="33">
        <v>999</v>
      </c>
    </row>
    <row r="22" spans="1:10" x14ac:dyDescent="0.35">
      <c r="A22" s="89"/>
      <c r="B22" s="79"/>
      <c r="C22" s="15" t="s">
        <v>88</v>
      </c>
      <c r="D22" s="16">
        <v>73.36</v>
      </c>
      <c r="E22" s="85" t="s">
        <v>89</v>
      </c>
      <c r="F22" s="81" t="s">
        <v>84</v>
      </c>
      <c r="G22" s="17">
        <v>4.6740000000000004</v>
      </c>
      <c r="H22" s="15" t="s">
        <v>21</v>
      </c>
      <c r="I22" s="3" t="s">
        <v>90</v>
      </c>
      <c r="J22" s="40">
        <v>999</v>
      </c>
    </row>
    <row r="23" spans="1:10" x14ac:dyDescent="0.35">
      <c r="A23" s="89"/>
      <c r="B23" s="79"/>
      <c r="C23" s="15" t="s">
        <v>93</v>
      </c>
      <c r="D23" s="16">
        <v>100</v>
      </c>
      <c r="E23" s="85" t="s">
        <v>94</v>
      </c>
      <c r="F23" s="81" t="s">
        <v>95</v>
      </c>
      <c r="G23" s="17">
        <v>24.792000000000002</v>
      </c>
      <c r="H23" s="15" t="s">
        <v>25</v>
      </c>
      <c r="I23" s="3" t="s">
        <v>96</v>
      </c>
      <c r="J23" s="33">
        <v>999</v>
      </c>
    </row>
    <row r="24" spans="1:10" x14ac:dyDescent="0.35">
      <c r="A24" s="89"/>
      <c r="B24" s="79"/>
      <c r="C24" s="15"/>
      <c r="D24" s="16"/>
      <c r="E24" s="85"/>
      <c r="F24" s="81"/>
      <c r="G24" s="17"/>
      <c r="H24" s="15"/>
      <c r="I24" s="3"/>
      <c r="J24" s="33"/>
    </row>
    <row r="25" spans="1:10" ht="15" thickBot="1" x14ac:dyDescent="0.4">
      <c r="A25" s="89"/>
      <c r="B25" s="10"/>
      <c r="C25" s="11"/>
      <c r="D25" s="11"/>
      <c r="E25" s="12"/>
      <c r="F25" s="51"/>
      <c r="G25" s="71"/>
      <c r="H25" s="11"/>
      <c r="I25" s="12"/>
      <c r="J25" s="34"/>
    </row>
    <row r="26" spans="1:10" ht="15" thickBot="1" x14ac:dyDescent="0.4">
      <c r="A26" s="88"/>
      <c r="B26" s="5"/>
      <c r="C26" s="6"/>
      <c r="D26" s="7">
        <f>SUM(D20:D25)</f>
        <v>445.41600000000005</v>
      </c>
      <c r="E26" s="49"/>
      <c r="F26" s="45"/>
      <c r="G26" s="21">
        <f>SUM(G20:G25)</f>
        <v>186.83500000000001</v>
      </c>
      <c r="H26" s="6"/>
      <c r="I26" s="49"/>
      <c r="J26" s="30">
        <f>D26-G26</f>
        <v>258.58100000000002</v>
      </c>
    </row>
    <row r="27" spans="1:10" ht="15" thickBot="1" x14ac:dyDescent="0.4"/>
    <row r="28" spans="1:10" ht="15" thickBot="1" x14ac:dyDescent="0.4">
      <c r="A28" s="88">
        <v>3</v>
      </c>
      <c r="B28" s="90" t="s">
        <v>15</v>
      </c>
      <c r="C28" s="91"/>
      <c r="D28" s="91"/>
      <c r="E28" s="92"/>
      <c r="F28" s="91"/>
      <c r="G28" s="91"/>
      <c r="H28" s="91"/>
      <c r="I28" s="92"/>
      <c r="J28" s="72" t="s">
        <v>7</v>
      </c>
    </row>
    <row r="29" spans="1:10" ht="15" thickBot="1" x14ac:dyDescent="0.4">
      <c r="A29" s="88"/>
      <c r="B29" s="24" t="s">
        <v>16</v>
      </c>
      <c r="C29" s="27" t="s">
        <v>0</v>
      </c>
      <c r="D29" s="27" t="s">
        <v>17</v>
      </c>
      <c r="E29" s="28" t="s">
        <v>6</v>
      </c>
      <c r="F29" s="27" t="s">
        <v>0</v>
      </c>
      <c r="G29" s="24" t="s">
        <v>2</v>
      </c>
      <c r="H29" s="27" t="s">
        <v>1</v>
      </c>
      <c r="I29" s="28" t="s">
        <v>6</v>
      </c>
      <c r="J29" s="25" t="s">
        <v>4</v>
      </c>
    </row>
    <row r="30" spans="1:10" x14ac:dyDescent="0.35">
      <c r="A30" s="89"/>
      <c r="B30" s="69" t="s">
        <v>14</v>
      </c>
      <c r="C30" s="59" t="s">
        <v>99</v>
      </c>
      <c r="D30" s="57">
        <v>258.58100000000002</v>
      </c>
      <c r="E30" s="67" t="s">
        <v>14</v>
      </c>
      <c r="F30" s="82" t="s">
        <v>99</v>
      </c>
      <c r="G30" s="48">
        <v>22.971</v>
      </c>
      <c r="H30" s="59" t="s">
        <v>20</v>
      </c>
      <c r="I30" s="32" t="s">
        <v>103</v>
      </c>
      <c r="J30" s="83">
        <v>999</v>
      </c>
    </row>
    <row r="31" spans="1:10" x14ac:dyDescent="0.35">
      <c r="A31" s="89"/>
      <c r="B31" s="70"/>
      <c r="C31" s="15" t="s">
        <v>100</v>
      </c>
      <c r="D31" s="16">
        <v>39.549999999999997</v>
      </c>
      <c r="E31" s="85" t="s">
        <v>101</v>
      </c>
      <c r="F31" s="81" t="s">
        <v>99</v>
      </c>
      <c r="G31" s="17">
        <v>20.373000000000001</v>
      </c>
      <c r="H31" s="15" t="s">
        <v>29</v>
      </c>
      <c r="I31" s="3" t="s">
        <v>108</v>
      </c>
      <c r="J31" s="33">
        <v>999</v>
      </c>
    </row>
    <row r="32" spans="1:10" x14ac:dyDescent="0.35">
      <c r="A32" s="89"/>
      <c r="B32" s="79"/>
      <c r="C32" s="15" t="s">
        <v>100</v>
      </c>
      <c r="D32" s="16">
        <v>196.35</v>
      </c>
      <c r="E32" s="85" t="s">
        <v>102</v>
      </c>
      <c r="F32" s="81" t="s">
        <v>111</v>
      </c>
      <c r="G32" s="17">
        <v>22.806000000000001</v>
      </c>
      <c r="H32" s="15" t="s">
        <v>21</v>
      </c>
      <c r="I32" s="3" t="s">
        <v>112</v>
      </c>
      <c r="J32" s="40">
        <v>999</v>
      </c>
    </row>
    <row r="33" spans="1:10" x14ac:dyDescent="0.35">
      <c r="A33" s="89"/>
      <c r="B33" s="79"/>
      <c r="C33" s="15" t="s">
        <v>100</v>
      </c>
      <c r="D33" s="16">
        <v>11.164</v>
      </c>
      <c r="E33" s="85" t="s">
        <v>107</v>
      </c>
      <c r="F33" s="81" t="s">
        <v>117</v>
      </c>
      <c r="G33" s="17">
        <v>9.8670000000000009</v>
      </c>
      <c r="H33" s="15" t="s">
        <v>40</v>
      </c>
      <c r="I33" s="3" t="s">
        <v>114</v>
      </c>
      <c r="J33" s="33">
        <v>999</v>
      </c>
    </row>
    <row r="34" spans="1:10" x14ac:dyDescent="0.35">
      <c r="A34" s="89"/>
      <c r="B34" s="79"/>
      <c r="C34" s="15" t="s">
        <v>109</v>
      </c>
      <c r="D34" s="16">
        <v>6.6479999999999997</v>
      </c>
      <c r="E34" s="87">
        <v>14</v>
      </c>
      <c r="F34" s="81" t="s">
        <v>117</v>
      </c>
      <c r="G34" s="17">
        <v>21.274999999999999</v>
      </c>
      <c r="H34" s="15" t="s">
        <v>25</v>
      </c>
      <c r="I34" s="3" t="s">
        <v>118</v>
      </c>
      <c r="J34" s="33">
        <v>999</v>
      </c>
    </row>
    <row r="35" spans="1:10" x14ac:dyDescent="0.35">
      <c r="A35" s="89"/>
      <c r="B35" s="79"/>
      <c r="C35" s="15"/>
      <c r="D35" s="16"/>
      <c r="E35" s="85"/>
      <c r="F35" s="81" t="s">
        <v>116</v>
      </c>
      <c r="G35" s="17">
        <v>32.798000000000002</v>
      </c>
      <c r="H35" s="15" t="s">
        <v>40</v>
      </c>
      <c r="I35" s="3" t="s">
        <v>119</v>
      </c>
      <c r="J35" s="33">
        <v>999</v>
      </c>
    </row>
    <row r="36" spans="1:10" x14ac:dyDescent="0.35">
      <c r="A36" s="89"/>
      <c r="B36" s="39"/>
      <c r="C36" s="15"/>
      <c r="D36" s="16"/>
      <c r="E36" s="85"/>
      <c r="F36" s="81" t="s">
        <v>127</v>
      </c>
      <c r="G36" s="17">
        <v>331.81200000000001</v>
      </c>
      <c r="H36" s="15" t="s">
        <v>25</v>
      </c>
      <c r="I36" s="3" t="s">
        <v>128</v>
      </c>
      <c r="J36" s="33">
        <v>999</v>
      </c>
    </row>
    <row r="37" spans="1:10" x14ac:dyDescent="0.35">
      <c r="A37" s="89"/>
      <c r="B37" s="86"/>
      <c r="C37" s="15"/>
      <c r="D37" s="16"/>
      <c r="E37" s="85"/>
      <c r="F37" s="81" t="s">
        <v>131</v>
      </c>
      <c r="G37" s="17">
        <v>10.91</v>
      </c>
      <c r="H37" s="15" t="s">
        <v>29</v>
      </c>
      <c r="I37" s="3" t="s">
        <v>132</v>
      </c>
      <c r="J37" s="33">
        <v>999</v>
      </c>
    </row>
    <row r="38" spans="1:10" x14ac:dyDescent="0.35">
      <c r="A38" s="89"/>
      <c r="B38" s="79"/>
      <c r="C38" s="15"/>
      <c r="D38" s="16"/>
      <c r="E38" s="85"/>
      <c r="F38" s="81"/>
      <c r="G38" s="17"/>
      <c r="H38" s="15"/>
      <c r="I38" s="3"/>
      <c r="J38" s="33"/>
    </row>
    <row r="39" spans="1:10" ht="15" thickBot="1" x14ac:dyDescent="0.4">
      <c r="A39" s="89"/>
      <c r="B39" s="10"/>
      <c r="C39" s="11"/>
      <c r="D39" s="11"/>
      <c r="E39" s="12"/>
      <c r="F39" s="51"/>
      <c r="G39" s="71"/>
      <c r="H39" s="11"/>
      <c r="I39" s="12"/>
      <c r="J39" s="34"/>
    </row>
    <row r="40" spans="1:10" ht="15" thickBot="1" x14ac:dyDescent="0.4">
      <c r="A40" s="88"/>
      <c r="B40" s="5"/>
      <c r="C40" s="6"/>
      <c r="D40" s="7">
        <f>SUM(D30:D39)</f>
        <v>512.29300000000001</v>
      </c>
      <c r="E40" s="49"/>
      <c r="F40" s="45"/>
      <c r="G40" s="21">
        <f>SUM(G30:G39)</f>
        <v>472.81200000000007</v>
      </c>
      <c r="H40" s="6"/>
      <c r="I40" s="49"/>
      <c r="J40" s="30">
        <f>D40-G40</f>
        <v>39.480999999999938</v>
      </c>
    </row>
    <row r="41" spans="1:10" ht="15" thickBot="1" x14ac:dyDescent="0.4"/>
    <row r="42" spans="1:10" ht="15" thickBot="1" x14ac:dyDescent="0.4">
      <c r="A42" s="88">
        <v>4</v>
      </c>
      <c r="B42" s="90" t="s">
        <v>15</v>
      </c>
      <c r="C42" s="91"/>
      <c r="D42" s="91"/>
      <c r="E42" s="92"/>
      <c r="F42" s="91"/>
      <c r="G42" s="91"/>
      <c r="H42" s="91"/>
      <c r="I42" s="92"/>
      <c r="J42" s="72" t="s">
        <v>7</v>
      </c>
    </row>
    <row r="43" spans="1:10" ht="15" thickBot="1" x14ac:dyDescent="0.4">
      <c r="A43" s="88"/>
      <c r="B43" s="24" t="s">
        <v>16</v>
      </c>
      <c r="C43" s="27" t="s">
        <v>0</v>
      </c>
      <c r="D43" s="27" t="s">
        <v>17</v>
      </c>
      <c r="E43" s="28" t="s">
        <v>6</v>
      </c>
      <c r="F43" s="27" t="s">
        <v>0</v>
      </c>
      <c r="G43" s="24" t="s">
        <v>2</v>
      </c>
      <c r="H43" s="27" t="s">
        <v>1</v>
      </c>
      <c r="I43" s="28" t="s">
        <v>6</v>
      </c>
      <c r="J43" s="25" t="s">
        <v>4</v>
      </c>
    </row>
    <row r="44" spans="1:10" x14ac:dyDescent="0.35">
      <c r="A44" s="89"/>
      <c r="B44" s="69" t="s">
        <v>14</v>
      </c>
      <c r="C44" s="59" t="s">
        <v>134</v>
      </c>
      <c r="D44" s="57">
        <v>39.481000000000002</v>
      </c>
      <c r="E44" s="67" t="s">
        <v>14</v>
      </c>
      <c r="F44" s="82" t="s">
        <v>134</v>
      </c>
      <c r="G44" s="48">
        <v>18.317</v>
      </c>
      <c r="H44" s="59" t="s">
        <v>25</v>
      </c>
      <c r="I44" s="32" t="s">
        <v>136</v>
      </c>
      <c r="J44" s="83">
        <v>999</v>
      </c>
    </row>
    <row r="45" spans="1:10" x14ac:dyDescent="0.35">
      <c r="A45" s="89"/>
      <c r="B45" s="70"/>
      <c r="C45" s="15" t="s">
        <v>134</v>
      </c>
      <c r="D45" s="16">
        <v>400</v>
      </c>
      <c r="E45" s="85" t="s">
        <v>135</v>
      </c>
      <c r="F45" s="81" t="s">
        <v>134</v>
      </c>
      <c r="G45" s="17">
        <v>18.818000000000001</v>
      </c>
      <c r="H45" s="15" t="s">
        <v>29</v>
      </c>
      <c r="I45" s="3" t="s">
        <v>139</v>
      </c>
      <c r="J45" s="33">
        <v>999</v>
      </c>
    </row>
    <row r="46" spans="1:10" x14ac:dyDescent="0.35">
      <c r="A46" s="89"/>
      <c r="B46" s="79"/>
      <c r="C46" s="15" t="s">
        <v>158</v>
      </c>
      <c r="D46" s="16">
        <v>113.834</v>
      </c>
      <c r="E46" s="85" t="s">
        <v>159</v>
      </c>
      <c r="F46" s="81" t="s">
        <v>143</v>
      </c>
      <c r="G46" s="17">
        <v>19.251999999999999</v>
      </c>
      <c r="H46" s="15" t="s">
        <v>19</v>
      </c>
      <c r="I46" s="3" t="s">
        <v>144</v>
      </c>
      <c r="J46" s="40">
        <v>999</v>
      </c>
    </row>
    <row r="47" spans="1:10" x14ac:dyDescent="0.35">
      <c r="A47" s="89"/>
      <c r="B47" s="79"/>
      <c r="C47" s="15" t="s">
        <v>168</v>
      </c>
      <c r="D47" s="16">
        <v>100</v>
      </c>
      <c r="E47" s="85" t="s">
        <v>169</v>
      </c>
      <c r="F47" s="81" t="s">
        <v>138</v>
      </c>
      <c r="G47" s="17">
        <v>29.954999999999998</v>
      </c>
      <c r="H47" s="15" t="s">
        <v>29</v>
      </c>
      <c r="I47" s="3" t="s">
        <v>149</v>
      </c>
      <c r="J47" s="33">
        <v>999</v>
      </c>
    </row>
    <row r="48" spans="1:10" x14ac:dyDescent="0.35">
      <c r="A48" s="89"/>
      <c r="B48" s="79"/>
      <c r="C48" s="15" t="s">
        <v>172</v>
      </c>
      <c r="D48" s="16">
        <v>13.25</v>
      </c>
      <c r="E48" s="87" t="s">
        <v>171</v>
      </c>
      <c r="F48" s="81" t="s">
        <v>138</v>
      </c>
      <c r="G48" s="17">
        <v>27.478999999999999</v>
      </c>
      <c r="H48" s="15" t="s">
        <v>21</v>
      </c>
      <c r="I48" s="3" t="s">
        <v>151</v>
      </c>
      <c r="J48" s="33">
        <v>999</v>
      </c>
    </row>
    <row r="49" spans="1:10" x14ac:dyDescent="0.35">
      <c r="A49" s="89"/>
      <c r="B49" s="79"/>
      <c r="C49" s="15"/>
      <c r="D49" s="16"/>
      <c r="E49" s="87"/>
      <c r="F49" s="81" t="s">
        <v>140</v>
      </c>
      <c r="G49" s="17">
        <v>2.6890000000000001</v>
      </c>
      <c r="H49" s="15" t="s">
        <v>25</v>
      </c>
      <c r="I49" s="3" t="s">
        <v>155</v>
      </c>
      <c r="J49" s="33">
        <v>999</v>
      </c>
    </row>
    <row r="50" spans="1:10" x14ac:dyDescent="0.35">
      <c r="A50" s="89"/>
      <c r="B50" s="39"/>
      <c r="C50" s="15"/>
      <c r="D50" s="16"/>
      <c r="E50" s="85"/>
      <c r="F50" s="81" t="s">
        <v>161</v>
      </c>
      <c r="G50" s="17">
        <v>12.189</v>
      </c>
      <c r="H50" s="15" t="s">
        <v>21</v>
      </c>
      <c r="I50" s="3" t="s">
        <v>162</v>
      </c>
      <c r="J50" s="33">
        <v>999</v>
      </c>
    </row>
    <row r="51" spans="1:10" x14ac:dyDescent="0.35">
      <c r="A51" s="89"/>
      <c r="B51" s="86"/>
      <c r="C51" s="15"/>
      <c r="D51" s="16"/>
      <c r="E51" s="85"/>
      <c r="F51" s="81" t="s">
        <v>165</v>
      </c>
      <c r="G51" s="17">
        <v>300</v>
      </c>
      <c r="H51" s="15" t="s">
        <v>25</v>
      </c>
      <c r="I51" s="3" t="s">
        <v>164</v>
      </c>
      <c r="J51" s="33">
        <v>999</v>
      </c>
    </row>
    <row r="52" spans="1:10" x14ac:dyDescent="0.35">
      <c r="A52" s="89"/>
      <c r="B52" s="79"/>
      <c r="C52" s="15"/>
      <c r="D52" s="16"/>
      <c r="E52" s="85"/>
      <c r="F52" s="81" t="s">
        <v>158</v>
      </c>
      <c r="G52" s="17">
        <v>53.152000000000001</v>
      </c>
      <c r="H52" s="15" t="s">
        <v>29</v>
      </c>
      <c r="I52" s="3" t="s">
        <v>166</v>
      </c>
      <c r="J52" s="33">
        <v>999</v>
      </c>
    </row>
    <row r="53" spans="1:10" x14ac:dyDescent="0.35">
      <c r="A53" s="89"/>
      <c r="B53" s="79"/>
      <c r="C53" s="15"/>
      <c r="D53" s="16"/>
      <c r="E53" s="85"/>
      <c r="F53" s="81"/>
      <c r="G53" s="14"/>
      <c r="H53" s="15"/>
      <c r="I53" s="3"/>
      <c r="J53" s="33"/>
    </row>
    <row r="54" spans="1:10" ht="15" thickBot="1" x14ac:dyDescent="0.4">
      <c r="A54" s="89"/>
      <c r="B54" s="10"/>
      <c r="C54" s="11"/>
      <c r="D54" s="11"/>
      <c r="E54" s="12"/>
      <c r="F54" s="51"/>
      <c r="G54" s="71"/>
      <c r="H54" s="11"/>
      <c r="I54" s="12"/>
      <c r="J54" s="34"/>
    </row>
    <row r="55" spans="1:10" ht="15" thickBot="1" x14ac:dyDescent="0.4">
      <c r="A55" s="88"/>
      <c r="B55" s="5"/>
      <c r="C55" s="6"/>
      <c r="D55" s="7">
        <f>SUM(D44:D54)</f>
        <v>666.56500000000005</v>
      </c>
      <c r="E55" s="49"/>
      <c r="F55" s="45"/>
      <c r="G55" s="21">
        <f>SUM(G44:G54)</f>
        <v>481.85099999999994</v>
      </c>
      <c r="H55" s="6"/>
      <c r="I55" s="49"/>
      <c r="J55" s="30">
        <f>D55-G55</f>
        <v>184.71400000000011</v>
      </c>
    </row>
    <row r="82" spans="7:8" x14ac:dyDescent="0.35">
      <c r="G82" s="17">
        <f>19.5-10.82</f>
        <v>8.68</v>
      </c>
      <c r="H82" s="15" t="s">
        <v>170</v>
      </c>
    </row>
  </sheetData>
  <mergeCells count="12">
    <mergeCell ref="B28:E28"/>
    <mergeCell ref="F28:I28"/>
    <mergeCell ref="A42:A55"/>
    <mergeCell ref="B42:E42"/>
    <mergeCell ref="F42:I42"/>
    <mergeCell ref="A28:A40"/>
    <mergeCell ref="A18:A26"/>
    <mergeCell ref="B18:E18"/>
    <mergeCell ref="F18:I18"/>
    <mergeCell ref="A2:A16"/>
    <mergeCell ref="B2:E2"/>
    <mergeCell ref="F2:I2"/>
  </mergeCells>
  <phoneticPr fontId="5" type="noConversion"/>
  <pageMargins left="0.7" right="0.7" top="0.75" bottom="0.75" header="0.3" footer="0.3"/>
  <pageSetup paperSize="8" scale="24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RHEAA</vt:lpstr>
      <vt:lpstr>SATAAR</vt:lpstr>
      <vt:lpstr>JGD</vt:lpstr>
      <vt:lpstr>UM</vt:lpstr>
      <vt:lpstr>BAMAL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2026-08-19T15:27:40Z</dcterms:modified>
</cp:coreProperties>
</file>